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arms\Desktop\AI Brain\budget-entry\"/>
    </mc:Choice>
  </mc:AlternateContent>
  <xr:revisionPtr revIDLastSave="0" documentId="13_ncr:1_{AE16653A-7717-4057-B4B1-D5397EAD06BD}" xr6:coauthVersionLast="47" xr6:coauthVersionMax="47" xr10:uidLastSave="{00000000-0000-0000-0000-000000000000}"/>
  <bookViews>
    <workbookView xWindow="-108" yWindow="-108" windowWidth="23256" windowHeight="12456" activeTab="2" xr2:uid="{3A3B4812-E9D8-4ED1-A78F-EE1A1F4FA8B4}"/>
  </bookViews>
  <sheets>
    <sheet name="Settings" sheetId="1" r:id="rId1"/>
    <sheet name="Budget Planning" sheetId="3" r:id="rId2"/>
    <sheet name="Budget Tracking" sheetId="2" r:id="rId3"/>
    <sheet name="Budget Dashboard" sheetId="4" r:id="rId4"/>
    <sheet name="Savings Accounts" sheetId="13" r:id="rId5"/>
    <sheet name="Asset Allocation" sheetId="7" r:id="rId6"/>
    <sheet name="Calculations" sheetId="5" state="hidden" r:id="rId7"/>
    <sheet name="Dropdown Data" sheetId="6" state="hidden" r:id="rId8"/>
  </sheets>
  <externalReferences>
    <externalReference r:id="rId9"/>
  </externalReferences>
  <definedNames>
    <definedName name="budget" localSheetId="3">'Budget Dashboard'!$L1</definedName>
    <definedName name="budget_range" localSheetId="3">'Budget Dashboard'!$Q1</definedName>
    <definedName name="budget_rank" localSheetId="3">'Budget Dashboard'!$R1</definedName>
    <definedName name="cc_budget" localSheetId="6">Calculations!$K1</definedName>
    <definedName name="cc_delta" localSheetId="6">Calculations!$L1</definedName>
    <definedName name="cc_in_focus" localSheetId="6">Calculations!$G1</definedName>
    <definedName name="cc_month_number" localSheetId="6">Calculations!$F1</definedName>
    <definedName name="cc_show_rem_budget" localSheetId="6">Calculations!$I1</definedName>
    <definedName name="cc_show_type" localSheetId="6">Calculations!$H1</definedName>
    <definedName name="cc_tracked" localSheetId="6">Calculations!$J1</definedName>
    <definedName name="cc_type" localSheetId="6">Calculations!$E1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Planning'!$C$33)</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egory"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ings_max_row" localSheetId="3">MAX(ROW(Savings[]))</definedName>
    <definedName name="saings_max_row" localSheetId="7">MAX(ROW(Savings[]))</definedName>
    <definedName name="saings_max_row">MAX(ROW(Savings[]))</definedName>
    <definedName name="savings_header_row">ROW(Savings[[#Headers],[Savings]])</definedName>
    <definedName name="savings_max_row">MAX(ROW(Savings[]))</definedName>
    <definedName name="savings_min_row">MIN(ROW(Savings[]))</definedName>
    <definedName name="savings_rate_calculation_type">Settings!$E$22</definedName>
    <definedName name="savings_total_row">ROW('Budget Planning'!$C$46)</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3">'Budget Dashboard'!$N1</definedName>
    <definedName name="sort_min_row" localSheetId="3">'Budget Dashboard'!$M1</definedName>
    <definedName name="starting_year">Settings!$E$8</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5" i="2" l="1"/>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883" i="2"/>
  <c r="I882"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44" i="2"/>
  <c r="I843" i="2"/>
  <c r="I842" i="2"/>
  <c r="I841" i="2"/>
  <c r="I840" i="2"/>
  <c r="I839" i="2"/>
  <c r="I838" i="2"/>
  <c r="I837" i="2"/>
  <c r="I836" i="2"/>
  <c r="I819" i="2"/>
  <c r="I820" i="2"/>
  <c r="I821" i="2"/>
  <c r="I822" i="2"/>
  <c r="I823" i="2"/>
  <c r="I824" i="2"/>
  <c r="I825" i="2"/>
  <c r="I826" i="2"/>
  <c r="I827" i="2"/>
  <c r="I828" i="2"/>
  <c r="I829" i="2"/>
  <c r="I830" i="2"/>
  <c r="I831" i="2"/>
  <c r="I832" i="2"/>
  <c r="I833" i="2"/>
  <c r="I834" i="2"/>
  <c r="I835" i="2"/>
  <c r="I818" i="2"/>
  <c r="I797" i="2"/>
  <c r="I798" i="2"/>
  <c r="I799" i="2"/>
  <c r="I800" i="2"/>
  <c r="I801" i="2"/>
  <c r="I802" i="2"/>
  <c r="I803" i="2"/>
  <c r="I804" i="2"/>
  <c r="I805" i="2"/>
  <c r="I806" i="2"/>
  <c r="I807" i="2"/>
  <c r="I808" i="2"/>
  <c r="I809" i="2"/>
  <c r="I810" i="2"/>
  <c r="I811" i="2"/>
  <c r="I812" i="2"/>
  <c r="I813" i="2"/>
  <c r="I814" i="2"/>
  <c r="I815" i="2"/>
  <c r="I816" i="2"/>
  <c r="I817" i="2"/>
  <c r="I796" i="2"/>
  <c r="I777" i="2"/>
  <c r="I778" i="2"/>
  <c r="I779" i="2"/>
  <c r="I780" i="2"/>
  <c r="I781" i="2"/>
  <c r="I782" i="2"/>
  <c r="I783" i="2"/>
  <c r="I784" i="2"/>
  <c r="I785" i="2"/>
  <c r="I786" i="2"/>
  <c r="I787" i="2"/>
  <c r="I788" i="2"/>
  <c r="I789" i="2"/>
  <c r="I790" i="2"/>
  <c r="I791" i="2"/>
  <c r="I792" i="2"/>
  <c r="I793" i="2"/>
  <c r="I794" i="2"/>
  <c r="I795"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F2" i="13"/>
  <c r="I681" i="2"/>
  <c r="I679" i="2"/>
  <c r="I680"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599" i="2"/>
  <c r="I600" i="2"/>
  <c r="I601" i="2"/>
  <c r="I602" i="2"/>
  <c r="I603" i="2"/>
  <c r="I604" i="2"/>
  <c r="I594" i="2"/>
  <c r="I595" i="2"/>
  <c r="I596" i="2"/>
  <c r="I597" i="2"/>
  <c r="I598" i="2"/>
  <c r="I590" i="2"/>
  <c r="I591" i="2"/>
  <c r="I592" i="2"/>
  <c r="I593" i="2"/>
  <c r="I585" i="2"/>
  <c r="I586" i="2"/>
  <c r="I587" i="2"/>
  <c r="I588" i="2"/>
  <c r="I589" i="2"/>
  <c r="I584" i="2"/>
  <c r="I583" i="2"/>
  <c r="I582" i="2"/>
  <c r="I581" i="2"/>
  <c r="I580" i="2"/>
  <c r="I579" i="2"/>
  <c r="I578" i="2"/>
  <c r="I577" i="2"/>
  <c r="I576" i="2"/>
  <c r="I575" i="2"/>
  <c r="I574" i="2"/>
  <c r="I573" i="2"/>
  <c r="I572" i="2"/>
  <c r="I571" i="2"/>
  <c r="I570" i="2"/>
  <c r="F569"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26" i="2"/>
  <c r="I325" i="2"/>
  <c r="I358" i="2"/>
  <c r="I357" i="2"/>
  <c r="I356" i="2"/>
  <c r="I355" i="2"/>
  <c r="I354" i="2"/>
  <c r="I353" i="2"/>
  <c r="I352" i="2"/>
  <c r="I351" i="2"/>
  <c r="I350" i="2"/>
  <c r="I349" i="2"/>
  <c r="I348" i="2"/>
  <c r="I347" i="2"/>
  <c r="I346" i="2"/>
  <c r="I345" i="2"/>
  <c r="I344" i="2"/>
  <c r="I335" i="2"/>
  <c r="I336" i="2"/>
  <c r="I337" i="2"/>
  <c r="I338" i="2"/>
  <c r="I339" i="2"/>
  <c r="I340" i="2"/>
  <c r="I341" i="2"/>
  <c r="I342" i="2"/>
  <c r="I343" i="2"/>
  <c r="I334" i="2"/>
  <c r="I333" i="2"/>
  <c r="I332" i="2"/>
  <c r="I331" i="2"/>
  <c r="I330" i="2"/>
  <c r="I329" i="2"/>
  <c r="I327" i="2"/>
  <c r="I328" i="2"/>
  <c r="C5" i="7"/>
  <c r="I324" i="2" l="1"/>
  <c r="I323" i="2"/>
  <c r="I322" i="2"/>
  <c r="I321" i="2"/>
  <c r="I320" i="2"/>
  <c r="I319" i="2"/>
  <c r="I318" i="2"/>
  <c r="I317" i="2"/>
  <c r="I316" i="2"/>
  <c r="I315" i="2"/>
  <c r="I314" i="2"/>
  <c r="I313" i="2"/>
  <c r="I312" i="2"/>
  <c r="I311" i="2" l="1"/>
  <c r="I310" i="2"/>
  <c r="F309" i="2"/>
  <c r="I309" i="2"/>
  <c r="I308" i="2"/>
  <c r="I307" i="2"/>
  <c r="I306" i="2"/>
  <c r="I304" i="2"/>
  <c r="I303" i="2"/>
  <c r="I305" i="2"/>
  <c r="I302" i="2"/>
  <c r="I301" i="2"/>
  <c r="I300" i="2"/>
  <c r="I299" i="2"/>
  <c r="I298" i="2"/>
  <c r="E1" i="7"/>
  <c r="I288" i="2"/>
  <c r="I287" i="2"/>
  <c r="I297" i="2" l="1"/>
  <c r="I296" i="2"/>
  <c r="I294" i="2"/>
  <c r="I295" i="2"/>
  <c r="I293" i="2"/>
  <c r="I292" i="2"/>
  <c r="I291" i="2"/>
  <c r="I290" i="2"/>
  <c r="I289" i="2"/>
  <c r="F285" i="2" l="1"/>
  <c r="I285" i="2"/>
  <c r="I284" i="2"/>
  <c r="I283" i="2"/>
  <c r="I286" i="2"/>
  <c r="I282" i="2"/>
  <c r="I281" i="2"/>
  <c r="I280" i="2"/>
  <c r="I279" i="2"/>
  <c r="I278" i="2"/>
  <c r="I277" i="2"/>
  <c r="I276" i="2"/>
  <c r="I275" i="2"/>
  <c r="I274" i="2"/>
  <c r="I273" i="2" l="1"/>
  <c r="I271" i="2"/>
  <c r="I272" i="2"/>
  <c r="I263" i="2"/>
  <c r="I264" i="2"/>
  <c r="I268" i="2"/>
  <c r="I265" i="2"/>
  <c r="I269" i="2"/>
  <c r="I270" i="2"/>
  <c r="I267" i="2"/>
  <c r="I262" i="2"/>
  <c r="I258" i="2"/>
  <c r="I259" i="2"/>
  <c r="I260" i="2"/>
  <c r="I261" i="2"/>
  <c r="I257" i="2"/>
  <c r="I256" i="2"/>
  <c r="I252" i="2"/>
  <c r="I253" i="2"/>
  <c r="I254" i="2"/>
  <c r="I255" i="2"/>
  <c r="I251" i="2"/>
  <c r="I250" i="2"/>
  <c r="I249" i="2"/>
  <c r="I248" i="2"/>
  <c r="I247" i="2"/>
  <c r="I266" i="2"/>
  <c r="I246" i="2"/>
  <c r="I245" i="2"/>
  <c r="I244" i="2"/>
  <c r="I243" i="2" l="1"/>
  <c r="I242" i="2"/>
  <c r="I241" i="2"/>
  <c r="I240" i="2"/>
  <c r="I239" i="2"/>
  <c r="I238" i="2"/>
  <c r="I237" i="2"/>
  <c r="I233" i="2"/>
  <c r="I232" i="2"/>
  <c r="I236" i="2"/>
  <c r="C11" i="7"/>
  <c r="C13" i="7" s="1" a="1"/>
  <c r="C13" i="7" s="1"/>
  <c r="I235" i="2"/>
  <c r="I234" i="2"/>
  <c r="I229" i="2"/>
  <c r="I228" i="2" l="1"/>
  <c r="I231" i="2"/>
  <c r="F230" i="2"/>
  <c r="I230" i="2"/>
  <c r="I227" i="2"/>
  <c r="I225" i="2"/>
  <c r="I224" i="2"/>
  <c r="I226" i="2"/>
  <c r="I223" i="2"/>
  <c r="J14" i="7"/>
  <c r="I222" i="2"/>
  <c r="I219" i="2"/>
  <c r="I221" i="2"/>
  <c r="I220" i="2"/>
  <c r="I218" i="2"/>
  <c r="I217" i="2"/>
  <c r="I216" i="2"/>
  <c r="I215" i="2"/>
  <c r="I214" i="2"/>
  <c r="I213" i="2"/>
  <c r="D11" i="7"/>
  <c r="D13" i="7" s="1" a="1"/>
  <c r="D13" i="7" s="1"/>
  <c r="I212" i="2" l="1"/>
  <c r="I211" i="2"/>
  <c r="I210" i="2"/>
  <c r="I209" i="2"/>
  <c r="G5" i="7" l="1" a="1"/>
  <c r="G5" i="7" s="1"/>
  <c r="B11" i="7"/>
  <c r="I208" i="2"/>
  <c r="I207" i="2"/>
  <c r="I206" i="2"/>
  <c r="I205" i="2"/>
  <c r="I204" i="2"/>
  <c r="I203" i="2"/>
  <c r="B13" i="7" l="1" a="1"/>
  <c r="B13" i="7" s="1"/>
  <c r="E13" i="7"/>
  <c r="G4" i="7" a="1"/>
  <c r="G4" i="7" s="1"/>
  <c r="I197" i="2"/>
  <c r="I196" i="2"/>
  <c r="I202" i="2"/>
  <c r="I201" i="2"/>
  <c r="I200" i="2"/>
  <c r="I199" i="2"/>
  <c r="I198" i="2"/>
  <c r="I195" i="2"/>
  <c r="I194" i="2"/>
  <c r="I189" i="2"/>
  <c r="I188" i="2"/>
  <c r="I193" i="2"/>
  <c r="I192" i="2"/>
  <c r="I191" i="2"/>
  <c r="I190" i="2"/>
  <c r="I187" i="2"/>
  <c r="I185" i="2"/>
  <c r="I184" i="2"/>
  <c r="L4" i="7" l="1"/>
  <c r="N4" i="7"/>
  <c r="L5" i="7"/>
  <c r="M4" i="7"/>
  <c r="M5" i="7"/>
  <c r="N5" i="7"/>
  <c r="L6" i="7"/>
  <c r="M6" i="7"/>
  <c r="E11" i="7"/>
  <c r="I14" i="7" s="1" a="1"/>
  <c r="I14" i="7" s="1"/>
  <c r="I186" i="2"/>
  <c r="I183" i="2"/>
  <c r="I182" i="2"/>
  <c r="I181" i="2"/>
  <c r="I180" i="2"/>
  <c r="F179" i="2"/>
  <c r="I179" i="2"/>
  <c r="I177" i="2"/>
  <c r="I178" i="2"/>
  <c r="I176" i="2"/>
  <c r="I175" i="2"/>
  <c r="I174" i="2"/>
  <c r="I173" i="2"/>
  <c r="I172" i="2"/>
  <c r="F169" i="2"/>
  <c r="I171" i="2"/>
  <c r="I170" i="2"/>
  <c r="I169" i="2"/>
  <c r="I168" i="2"/>
  <c r="F163" i="2"/>
  <c r="I164" i="2"/>
  <c r="I167" i="2"/>
  <c r="I166" i="2"/>
  <c r="I165" i="2"/>
  <c r="I163" i="2"/>
  <c r="I162" i="2"/>
  <c r="O5" i="7" l="1"/>
  <c r="O4" i="7"/>
  <c r="I161" i="2"/>
  <c r="I160" i="2"/>
  <c r="I159" i="2"/>
  <c r="I158" i="2"/>
  <c r="I157" i="2"/>
  <c r="I156" i="2"/>
  <c r="I155" i="2"/>
  <c r="I154" i="2"/>
  <c r="I153" i="2"/>
  <c r="I152" i="2"/>
  <c r="I151" i="2"/>
  <c r="I150" i="2"/>
  <c r="I149" i="2"/>
  <c r="I148" i="2"/>
  <c r="I147" i="2"/>
  <c r="I146" i="2"/>
  <c r="I145" i="2"/>
  <c r="I144" i="2"/>
  <c r="I143" i="2"/>
  <c r="I142" i="2" l="1"/>
  <c r="I141" i="2"/>
  <c r="I140" i="2"/>
  <c r="I139" i="2"/>
  <c r="I138" i="2"/>
  <c r="I137" i="2"/>
  <c r="I136" i="2"/>
  <c r="I135" i="2"/>
  <c r="I134" i="2"/>
  <c r="I133" i="2"/>
  <c r="I132" i="2"/>
  <c r="I131" i="2"/>
  <c r="I128" i="2"/>
  <c r="I127" i="2"/>
  <c r="I130" i="2"/>
  <c r="F129" i="2"/>
  <c r="I129" i="2"/>
  <c r="I126" i="2"/>
  <c r="I125" i="2"/>
  <c r="I124" i="2"/>
  <c r="I123" i="2" l="1"/>
  <c r="I122" i="2"/>
  <c r="I121" i="2"/>
  <c r="I120" i="2"/>
  <c r="I119" i="2" l="1"/>
  <c r="I118" i="2"/>
  <c r="I117" i="2"/>
  <c r="I116" i="2"/>
  <c r="I115" i="2" l="1"/>
  <c r="I114" i="2"/>
  <c r="I113" i="2"/>
  <c r="I112" i="2"/>
  <c r="F111" i="2"/>
  <c r="I111" i="2"/>
  <c r="I110" i="2"/>
  <c r="I108" i="2"/>
  <c r="I107" i="2"/>
  <c r="F109" i="2"/>
  <c r="I109" i="2"/>
  <c r="I106" i="2"/>
  <c r="I105" i="2" l="1"/>
  <c r="F104" i="2"/>
  <c r="I104" i="2"/>
  <c r="I103" i="2"/>
  <c r="I101" i="2"/>
  <c r="I100" i="2"/>
  <c r="I99" i="2"/>
  <c r="I102" i="2"/>
  <c r="I98" i="2"/>
  <c r="I97" i="2"/>
  <c r="I96" i="2"/>
  <c r="I95" i="2"/>
  <c r="I94" i="2"/>
  <c r="I93" i="2"/>
  <c r="I92" i="2"/>
  <c r="I91" i="2"/>
  <c r="I90" i="2"/>
  <c r="I89" i="2"/>
  <c r="I88" i="2"/>
  <c r="I87" i="2"/>
  <c r="I86" i="2"/>
  <c r="I85" i="2"/>
  <c r="I84" i="2"/>
  <c r="I83" i="2"/>
  <c r="I66" i="2"/>
  <c r="I82" i="2"/>
  <c r="I81" i="2"/>
  <c r="I80" i="2"/>
  <c r="I79" i="2"/>
  <c r="I78" i="2"/>
  <c r="I77" i="2"/>
  <c r="I76" i="2"/>
  <c r="I75" i="2"/>
  <c r="F74" i="2"/>
  <c r="I74" i="2"/>
  <c r="I73" i="2"/>
  <c r="F72" i="2"/>
  <c r="I72" i="2"/>
  <c r="I71" i="2"/>
  <c r="I70" i="2"/>
  <c r="I69" i="2"/>
  <c r="I68" i="2"/>
  <c r="I65" i="2"/>
  <c r="I67" i="2"/>
  <c r="F63" i="2"/>
  <c r="I64" i="2"/>
  <c r="I63" i="2"/>
  <c r="I62" i="2"/>
  <c r="I61" i="2"/>
  <c r="I60" i="2"/>
  <c r="I59" i="2"/>
  <c r="I58" i="2"/>
  <c r="I57" i="2"/>
  <c r="I56" i="2"/>
  <c r="I55" i="2"/>
  <c r="I54" i="2"/>
  <c r="I53" i="2"/>
  <c r="I52" i="2"/>
  <c r="I51" i="2"/>
  <c r="I50" i="2"/>
  <c r="I49" i="2"/>
  <c r="I48" i="2"/>
  <c r="I47" i="2"/>
  <c r="I46" i="2"/>
  <c r="I45" i="2"/>
  <c r="I44" i="2"/>
  <c r="I43" i="2"/>
  <c r="I42" i="2"/>
  <c r="I41" i="2"/>
  <c r="I40" i="2"/>
  <c r="I36" i="2"/>
  <c r="J13" i="2"/>
  <c r="I24" i="2"/>
  <c r="I29" i="2"/>
  <c r="I23" i="2"/>
  <c r="I39" i="2"/>
  <c r="I38" i="2"/>
  <c r="I37" i="2"/>
  <c r="I34" i="2"/>
  <c r="I32" i="2"/>
  <c r="I31" i="2"/>
  <c r="I30" i="2"/>
  <c r="I28" i="2"/>
  <c r="I27" i="2"/>
  <c r="I26" i="2"/>
  <c r="I25" i="2"/>
  <c r="I22" i="2"/>
  <c r="I21" i="2"/>
  <c r="I20" i="2"/>
  <c r="I19" i="2"/>
  <c r="I18" i="2"/>
  <c r="I17" i="2"/>
  <c r="I16" i="2"/>
  <c r="I15" i="2"/>
  <c r="I14" i="2"/>
  <c r="I13" i="2"/>
  <c r="I35" i="2"/>
  <c r="I33" i="2"/>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N39" i="5" a="1"/>
  <c r="N39" i="5" s="1"/>
  <c r="M39" i="5" s="1" a="1"/>
  <c r="M39" i="5" s="1"/>
  <c r="AP35" i="4"/>
  <c r="AI35" i="4"/>
  <c r="AI22" i="4"/>
  <c r="C13" i="4" a="1"/>
  <c r="C13" i="4" s="1"/>
  <c r="G13" i="4" s="1" a="1"/>
  <c r="G13" i="4" s="1"/>
  <c r="E20" i="5" a="1"/>
  <c r="E20" i="5" s="1"/>
  <c r="E19" i="5" a="1"/>
  <c r="E19" i="5" s="1"/>
  <c r="D55" i="5" s="1"/>
  <c r="F55" i="5" s="1"/>
  <c r="C9" i="6"/>
  <c r="C10" i="6" s="1"/>
  <c r="C11" i="6" s="1"/>
  <c r="C12" i="6" s="1"/>
  <c r="C13" i="6" s="1"/>
  <c r="C14" i="6" s="1"/>
  <c r="C15" i="6" s="1"/>
  <c r="C16" i="6" s="1"/>
  <c r="C17" i="6" s="1"/>
  <c r="C18" i="6" s="1"/>
  <c r="E8" i="5" a="1"/>
  <c r="E8" i="5" s="1"/>
  <c r="E12" i="5" a="1"/>
  <c r="E12" i="5" s="1"/>
  <c r="E11" i="5"/>
  <c r="E9" i="5"/>
  <c r="I12" i="2"/>
  <c r="CI10" i="3"/>
  <c r="CI11" i="3"/>
  <c r="CI12" i="3"/>
  <c r="CI13" i="3"/>
  <c r="CI14" i="3"/>
  <c r="CI15" i="3"/>
  <c r="CI16" i="3"/>
  <c r="CI17" i="3"/>
  <c r="CI18" i="3"/>
  <c r="CI19" i="3"/>
  <c r="CI23" i="3"/>
  <c r="CI24" i="3"/>
  <c r="CI25" i="3"/>
  <c r="CI26" i="3"/>
  <c r="CI27" i="3"/>
  <c r="CI28" i="3"/>
  <c r="CI29" i="3"/>
  <c r="CI30" i="3"/>
  <c r="CI31" i="3"/>
  <c r="CI32" i="3"/>
  <c r="CI36" i="3"/>
  <c r="CI37" i="3"/>
  <c r="CI38" i="3"/>
  <c r="CI39" i="3"/>
  <c r="CI40" i="3"/>
  <c r="CI41" i="3"/>
  <c r="CI42" i="3"/>
  <c r="CI43" i="3"/>
  <c r="CI44" i="3"/>
  <c r="CI45" i="3"/>
  <c r="BU10" i="3"/>
  <c r="BU11" i="3"/>
  <c r="BU12" i="3"/>
  <c r="BU13" i="3"/>
  <c r="BU14" i="3"/>
  <c r="BU15" i="3"/>
  <c r="BU16" i="3"/>
  <c r="BU17" i="3"/>
  <c r="BU18" i="3"/>
  <c r="BU19" i="3"/>
  <c r="BU23" i="3"/>
  <c r="BU24" i="3"/>
  <c r="BU25" i="3"/>
  <c r="BU26" i="3"/>
  <c r="BU27" i="3"/>
  <c r="BU28" i="3"/>
  <c r="BU29" i="3"/>
  <c r="BU30" i="3"/>
  <c r="BU31" i="3"/>
  <c r="BU32" i="3"/>
  <c r="BU36" i="3"/>
  <c r="BU37" i="3"/>
  <c r="BU38" i="3"/>
  <c r="BU39" i="3"/>
  <c r="BU40" i="3"/>
  <c r="BU41" i="3"/>
  <c r="BU42" i="3"/>
  <c r="BU43" i="3"/>
  <c r="BU44" i="3"/>
  <c r="BU45" i="3"/>
  <c r="CB46" i="3" a="1"/>
  <c r="CI46" i="3" a="1"/>
  <c r="BU46" i="3" a="1"/>
  <c r="CD20" i="3" a="1"/>
  <c r="BM46" i="3" a="1"/>
  <c r="BZ33" i="3" a="1"/>
  <c r="BK20" i="3" a="1"/>
  <c r="CD33" i="3" a="1"/>
  <c r="BL20" i="3" a="1"/>
  <c r="BY33" i="3" a="1"/>
  <c r="CA20" i="3" a="1"/>
  <c r="BW46" i="3" a="1"/>
  <c r="BX33" i="3" a="1"/>
  <c r="CI33" i="3" a="1"/>
  <c r="CH20" i="3" a="1"/>
  <c r="CC20" i="3" a="1"/>
  <c r="BZ46" i="3" a="1"/>
  <c r="BZ20" i="3" a="1"/>
  <c r="BS46" i="3" a="1"/>
  <c r="BY46" i="3" a="1"/>
  <c r="BN46" i="3" a="1"/>
  <c r="BN33" i="3" a="1"/>
  <c r="BS20" i="3" a="1"/>
  <c r="BQ33" i="3" a="1"/>
  <c r="BK46" i="3" a="1"/>
  <c r="BR46" i="3" a="1"/>
  <c r="CB33" i="3" a="1"/>
  <c r="BJ33" i="3" a="1"/>
  <c r="CE33" i="3" a="1"/>
  <c r="CA33" i="3" a="1"/>
  <c r="CG20" i="3" a="1"/>
  <c r="BS33" i="3" a="1"/>
  <c r="CE20" i="3" a="1"/>
  <c r="CD46" i="3" a="1"/>
  <c r="BT33" i="3" a="1"/>
  <c r="CF46" i="3" a="1"/>
  <c r="CF20" i="3" a="1"/>
  <c r="CF33" i="3" a="1"/>
  <c r="BQ20" i="3" a="1"/>
  <c r="BU20" i="3" a="1"/>
  <c r="BN20" i="3" a="1"/>
  <c r="BM33" i="3" a="1"/>
  <c r="BU33" i="3" a="1"/>
  <c r="BR20" i="3" a="1"/>
  <c r="CG46" i="3" a="1"/>
  <c r="BP20" i="3" a="1"/>
  <c r="BW33" i="3" a="1"/>
  <c r="CH46" i="3" a="1"/>
  <c r="BY20" i="3" a="1"/>
  <c r="BR33" i="3" a="1"/>
  <c r="BI20" i="3" a="1"/>
  <c r="BM20" i="3" a="1"/>
  <c r="BX46" i="3" a="1"/>
  <c r="BT20" i="3" a="1"/>
  <c r="CG33" i="3" a="1"/>
  <c r="BQ46" i="3" a="1"/>
  <c r="BP33" i="3" a="1"/>
  <c r="BP46" i="3" a="1"/>
  <c r="BK33" i="3" a="1"/>
  <c r="CE46" i="3" a="1"/>
  <c r="CA46" i="3" a="1"/>
  <c r="BI33" i="3" a="1"/>
  <c r="BI46" i="3" a="1"/>
  <c r="BT46" i="3" a="1"/>
  <c r="BL46" i="3" a="1"/>
  <c r="BJ20" i="3" a="1"/>
  <c r="CC33" i="3" a="1"/>
  <c r="BO20" i="3" a="1"/>
  <c r="BL33" i="3" a="1"/>
  <c r="BO33" i="3" a="1"/>
  <c r="BX20" i="3" a="1"/>
  <c r="BW20" i="3" a="1"/>
  <c r="CC46" i="3" a="1"/>
  <c r="CH33" i="3" a="1"/>
  <c r="BO46" i="3" a="1"/>
  <c r="BJ46" i="3" a="1"/>
  <c r="CB20" i="3" a="1"/>
  <c r="CI20" i="3" a="1"/>
  <c r="H885" i="2" l="1" a="1"/>
  <c r="H885" i="2" s="1"/>
  <c r="H892" i="2" a="1"/>
  <c r="H892" i="2" s="1"/>
  <c r="H898" i="2" a="1"/>
  <c r="H898" i="2" s="1"/>
  <c r="H911" i="2" a="1"/>
  <c r="H911" i="2" s="1"/>
  <c r="H845" i="2" a="1"/>
  <c r="H845" i="2" s="1"/>
  <c r="H852" i="2" a="1"/>
  <c r="H852" i="2" s="1"/>
  <c r="H860" i="2" a="1"/>
  <c r="H860" i="2" s="1"/>
  <c r="H868" i="2" a="1"/>
  <c r="H868" i="2" s="1"/>
  <c r="H876" i="2" a="1"/>
  <c r="H876" i="2" s="1"/>
  <c r="H842" i="2" a="1"/>
  <c r="H842" i="2" s="1"/>
  <c r="H821" i="2" a="1"/>
  <c r="H821" i="2" s="1"/>
  <c r="H818" i="2" a="1"/>
  <c r="H818" i="2" s="1"/>
  <c r="H835" i="2" a="1"/>
  <c r="H835" i="2" s="1"/>
  <c r="H886" i="2" a="1"/>
  <c r="H886" i="2" s="1"/>
  <c r="H899" i="2" a="1"/>
  <c r="H899" i="2" s="1"/>
  <c r="H905" i="2" a="1"/>
  <c r="H905" i="2" s="1"/>
  <c r="H846" i="2" a="1"/>
  <c r="H846" i="2" s="1"/>
  <c r="H853" i="2" a="1"/>
  <c r="H853" i="2" s="1"/>
  <c r="H861" i="2" a="1"/>
  <c r="H861" i="2" s="1"/>
  <c r="H869" i="2" a="1"/>
  <c r="H869" i="2" s="1"/>
  <c r="H877" i="2" a="1"/>
  <c r="H877" i="2" s="1"/>
  <c r="H822" i="2" a="1"/>
  <c r="H822" i="2" s="1"/>
  <c r="H830" i="2" a="1"/>
  <c r="H830" i="2" s="1"/>
  <c r="H825" i="2" a="1"/>
  <c r="H825" i="2" s="1"/>
  <c r="H858" i="2" a="1"/>
  <c r="H858" i="2" s="1"/>
  <c r="H819" i="2" a="1"/>
  <c r="H819" i="2" s="1"/>
  <c r="H887" i="2" a="1"/>
  <c r="H887" i="2" s="1"/>
  <c r="H893" i="2" a="1"/>
  <c r="H893" i="2" s="1"/>
  <c r="H900" i="2" a="1"/>
  <c r="H900" i="2" s="1"/>
  <c r="H906" i="2" a="1"/>
  <c r="H906" i="2" s="1"/>
  <c r="H854" i="2" a="1"/>
  <c r="H854" i="2" s="1"/>
  <c r="H862" i="2" a="1"/>
  <c r="H862" i="2" s="1"/>
  <c r="H870" i="2" a="1"/>
  <c r="H870" i="2" s="1"/>
  <c r="H878" i="2" a="1"/>
  <c r="H878" i="2" s="1"/>
  <c r="H841" i="2" a="1"/>
  <c r="H841" i="2" s="1"/>
  <c r="H837" i="2" a="1"/>
  <c r="H837" i="2" s="1"/>
  <c r="H823" i="2" a="1"/>
  <c r="H823" i="2" s="1"/>
  <c r="H831" i="2" a="1"/>
  <c r="H831" i="2" s="1"/>
  <c r="H833" i="2" a="1"/>
  <c r="H833" i="2" s="1"/>
  <c r="H882" i="2" a="1"/>
  <c r="H882" i="2" s="1"/>
  <c r="H866" i="2" a="1"/>
  <c r="H866" i="2" s="1"/>
  <c r="H888" i="2" a="1"/>
  <c r="H888" i="2" s="1"/>
  <c r="H894" i="2" a="1"/>
  <c r="H894" i="2" s="1"/>
  <c r="H907" i="2" a="1"/>
  <c r="H907" i="2" s="1"/>
  <c r="H847" i="2" a="1"/>
  <c r="H847" i="2" s="1"/>
  <c r="H855" i="2" a="1"/>
  <c r="H855" i="2" s="1"/>
  <c r="H863" i="2" a="1"/>
  <c r="H863" i="2" s="1"/>
  <c r="H871" i="2" a="1"/>
  <c r="H871" i="2" s="1"/>
  <c r="H879" i="2" a="1"/>
  <c r="H879" i="2" s="1"/>
  <c r="H824" i="2" a="1"/>
  <c r="H824" i="2" s="1"/>
  <c r="H832" i="2" a="1"/>
  <c r="H832" i="2" s="1"/>
  <c r="H836" i="2" a="1"/>
  <c r="H836" i="2" s="1"/>
  <c r="H850" i="2" a="1"/>
  <c r="H850" i="2" s="1"/>
  <c r="H839" i="2" a="1"/>
  <c r="H839" i="2" s="1"/>
  <c r="H895" i="2" a="1"/>
  <c r="H895" i="2" s="1"/>
  <c r="H901" i="2" a="1"/>
  <c r="H901" i="2" s="1"/>
  <c r="H908" i="2" a="1"/>
  <c r="H908" i="2" s="1"/>
  <c r="H883" i="2" a="1"/>
  <c r="H883" i="2" s="1"/>
  <c r="H848" i="2" a="1"/>
  <c r="H848" i="2" s="1"/>
  <c r="H856" i="2" a="1"/>
  <c r="H856" i="2" s="1"/>
  <c r="H864" i="2" a="1"/>
  <c r="H864" i="2" s="1"/>
  <c r="H872" i="2" a="1"/>
  <c r="H872" i="2" s="1"/>
  <c r="H880" i="2" a="1"/>
  <c r="H880" i="2" s="1"/>
  <c r="H844" i="2" a="1"/>
  <c r="H844" i="2" s="1"/>
  <c r="H840" i="2" a="1"/>
  <c r="H840" i="2" s="1"/>
  <c r="H909" i="2" a="1"/>
  <c r="H909" i="2" s="1"/>
  <c r="H843" i="2" a="1"/>
  <c r="H843" i="2" s="1"/>
  <c r="H889" i="2" a="1"/>
  <c r="H889" i="2" s="1"/>
  <c r="H896" i="2" a="1"/>
  <c r="H896" i="2" s="1"/>
  <c r="H902" i="2" a="1"/>
  <c r="H902" i="2" s="1"/>
  <c r="H849" i="2" a="1"/>
  <c r="H849" i="2" s="1"/>
  <c r="H857" i="2" a="1"/>
  <c r="H857" i="2" s="1"/>
  <c r="H865" i="2" a="1"/>
  <c r="H865" i="2" s="1"/>
  <c r="H873" i="2" a="1"/>
  <c r="H873" i="2" s="1"/>
  <c r="H881" i="2" a="1"/>
  <c r="H881" i="2" s="1"/>
  <c r="H826" i="2" a="1"/>
  <c r="H826" i="2" s="1"/>
  <c r="H834" i="2" a="1"/>
  <c r="H834" i="2" s="1"/>
  <c r="H890" i="2" a="1"/>
  <c r="H890" i="2" s="1"/>
  <c r="H903" i="2" a="1"/>
  <c r="H903" i="2" s="1"/>
  <c r="H874" i="2" a="1"/>
  <c r="H874" i="2" s="1"/>
  <c r="H891" i="2" a="1"/>
  <c r="H891" i="2" s="1"/>
  <c r="H897" i="2" a="1"/>
  <c r="H897" i="2" s="1"/>
  <c r="H904" i="2" a="1"/>
  <c r="H904" i="2" s="1"/>
  <c r="H910" i="2" a="1"/>
  <c r="H910" i="2" s="1"/>
  <c r="H851" i="2" a="1"/>
  <c r="H851" i="2" s="1"/>
  <c r="H859" i="2" a="1"/>
  <c r="H859" i="2" s="1"/>
  <c r="H867" i="2" a="1"/>
  <c r="H867" i="2" s="1"/>
  <c r="H875" i="2" a="1"/>
  <c r="H875" i="2" s="1"/>
  <c r="H820" i="2" a="1"/>
  <c r="H820" i="2" s="1"/>
  <c r="H828" i="2" a="1"/>
  <c r="H828" i="2" s="1"/>
  <c r="H838" i="2" a="1"/>
  <c r="H838" i="2" s="1"/>
  <c r="H829" i="2" a="1"/>
  <c r="H829" i="2" s="1"/>
  <c r="H827" i="2" a="1"/>
  <c r="H827" i="2" s="1"/>
  <c r="H797" i="2" a="1"/>
  <c r="H797" i="2" s="1"/>
  <c r="H804" i="2" a="1"/>
  <c r="H804" i="2" s="1"/>
  <c r="H810" i="2" a="1"/>
  <c r="H810" i="2" s="1"/>
  <c r="H798" i="2" a="1"/>
  <c r="H798" i="2" s="1"/>
  <c r="H811" i="2" a="1"/>
  <c r="H811" i="2" s="1"/>
  <c r="H817" i="2" a="1"/>
  <c r="H817" i="2" s="1"/>
  <c r="H816" i="2" a="1"/>
  <c r="H816" i="2" s="1"/>
  <c r="H799" i="2" a="1"/>
  <c r="H799" i="2" s="1"/>
  <c r="H805" i="2" a="1"/>
  <c r="H805" i="2" s="1"/>
  <c r="H812" i="2" a="1"/>
  <c r="H812" i="2" s="1"/>
  <c r="H809" i="2" a="1"/>
  <c r="H809" i="2" s="1"/>
  <c r="H800" i="2" a="1"/>
  <c r="H800" i="2" s="1"/>
  <c r="H806" i="2" a="1"/>
  <c r="H806" i="2" s="1"/>
  <c r="H802" i="2" a="1"/>
  <c r="H802" i="2" s="1"/>
  <c r="H803" i="2" a="1"/>
  <c r="H803" i="2" s="1"/>
  <c r="H807" i="2" a="1"/>
  <c r="H807" i="2" s="1"/>
  <c r="H813" i="2" a="1"/>
  <c r="H813" i="2" s="1"/>
  <c r="H814" i="2" a="1"/>
  <c r="H814" i="2" s="1"/>
  <c r="H796" i="2" a="1"/>
  <c r="H796" i="2" s="1"/>
  <c r="H801" i="2" a="1"/>
  <c r="H801" i="2" s="1"/>
  <c r="H808" i="2" a="1"/>
  <c r="H808" i="2" s="1"/>
  <c r="H815" i="2" a="1"/>
  <c r="H815" i="2" s="1"/>
  <c r="H777" i="2" a="1"/>
  <c r="H777" i="2" s="1"/>
  <c r="H790" i="2" a="1"/>
  <c r="H790" i="2" s="1"/>
  <c r="H678" i="2" a="1"/>
  <c r="H678" i="2" s="1"/>
  <c r="H674" i="2" a="1"/>
  <c r="H674" i="2" s="1"/>
  <c r="H670" i="2" a="1"/>
  <c r="H670" i="2" s="1"/>
  <c r="H666" i="2" a="1"/>
  <c r="H666" i="2" s="1"/>
  <c r="H662" i="2" a="1"/>
  <c r="H662" i="2" s="1"/>
  <c r="H658" i="2" a="1"/>
  <c r="H658" i="2" s="1"/>
  <c r="H654" i="2" a="1"/>
  <c r="H654" i="2" s="1"/>
  <c r="H650" i="2" a="1"/>
  <c r="H650" i="2" s="1"/>
  <c r="H646" i="2" a="1"/>
  <c r="H646" i="2" s="1"/>
  <c r="H642" i="2" a="1"/>
  <c r="H642" i="2" s="1"/>
  <c r="H638" i="2" a="1"/>
  <c r="H638" i="2" s="1"/>
  <c r="H634" i="2" a="1"/>
  <c r="H634" i="2" s="1"/>
  <c r="H630" i="2" a="1"/>
  <c r="H630" i="2" s="1"/>
  <c r="H626" i="2" a="1"/>
  <c r="H626" i="2" s="1"/>
  <c r="H622" i="2" a="1"/>
  <c r="H622" i="2" s="1"/>
  <c r="H618" i="2" a="1"/>
  <c r="H618" i="2" s="1"/>
  <c r="H614" i="2" a="1"/>
  <c r="H614" i="2" s="1"/>
  <c r="H610" i="2" a="1"/>
  <c r="H610" i="2" s="1"/>
  <c r="H606" i="2" a="1"/>
  <c r="H606" i="2" s="1"/>
  <c r="H603" i="2" a="1"/>
  <c r="H603" i="2" s="1"/>
  <c r="H594" i="2" a="1"/>
  <c r="H594" i="2" s="1"/>
  <c r="H582" i="2" a="1"/>
  <c r="H582" i="2" s="1"/>
  <c r="H578" i="2" a="1"/>
  <c r="H578" i="2" s="1"/>
  <c r="H574" i="2" a="1"/>
  <c r="H574" i="2" s="1"/>
  <c r="H570" i="2" a="1"/>
  <c r="H570" i="2" s="1"/>
  <c r="H701" i="2" a="1"/>
  <c r="H701" i="2" s="1"/>
  <c r="H693" i="2" a="1"/>
  <c r="H693" i="2" s="1"/>
  <c r="H689" i="2" a="1"/>
  <c r="H689" i="2" s="1"/>
  <c r="H604" i="2" a="1"/>
  <c r="H604" i="2" s="1"/>
  <c r="H566" i="2" a="1"/>
  <c r="H566" i="2" s="1"/>
  <c r="H558" i="2" a="1"/>
  <c r="H558" i="2" s="1"/>
  <c r="H569" i="2" a="1"/>
  <c r="H569" i="2" s="1"/>
  <c r="H557" i="2" a="1"/>
  <c r="H557" i="2" s="1"/>
  <c r="H576" i="2" a="1"/>
  <c r="H576" i="2" s="1"/>
  <c r="H771" i="2" a="1"/>
  <c r="H771" i="2" s="1"/>
  <c r="H763" i="2" a="1"/>
  <c r="H763" i="2" s="1"/>
  <c r="H747" i="2" a="1"/>
  <c r="H747" i="2" s="1"/>
  <c r="H735" i="2" a="1"/>
  <c r="H735" i="2" s="1"/>
  <c r="H715" i="2" a="1"/>
  <c r="H715" i="2" s="1"/>
  <c r="H703" i="2" a="1"/>
  <c r="H703" i="2" s="1"/>
  <c r="H680" i="2" a="1"/>
  <c r="H680" i="2" s="1"/>
  <c r="H564" i="2" a="1"/>
  <c r="H564" i="2" s="1"/>
  <c r="H738" i="2" a="1"/>
  <c r="H738" i="2" s="1"/>
  <c r="H718" i="2" a="1"/>
  <c r="H718" i="2" s="1"/>
  <c r="H694" i="2" a="1"/>
  <c r="H694" i="2" s="1"/>
  <c r="H567" i="2" a="1"/>
  <c r="H567" i="2" s="1"/>
  <c r="H778" i="2" a="1"/>
  <c r="H778" i="2" s="1"/>
  <c r="H784" i="2" a="1"/>
  <c r="H784" i="2" s="1"/>
  <c r="H791" i="2" a="1"/>
  <c r="H791" i="2" s="1"/>
  <c r="H773" i="2" a="1"/>
  <c r="H773" i="2" s="1"/>
  <c r="H769" i="2" a="1"/>
  <c r="H769" i="2" s="1"/>
  <c r="H765" i="2" a="1"/>
  <c r="H765" i="2" s="1"/>
  <c r="H761" i="2" a="1"/>
  <c r="H761" i="2" s="1"/>
  <c r="H757" i="2" a="1"/>
  <c r="H757" i="2" s="1"/>
  <c r="H753" i="2" a="1"/>
  <c r="H753" i="2" s="1"/>
  <c r="H749" i="2" a="1"/>
  <c r="H749" i="2" s="1"/>
  <c r="H745" i="2" a="1"/>
  <c r="H745" i="2" s="1"/>
  <c r="H741" i="2" a="1"/>
  <c r="H741" i="2" s="1"/>
  <c r="H737" i="2" a="1"/>
  <c r="H737" i="2" s="1"/>
  <c r="H733" i="2" a="1"/>
  <c r="H733" i="2" s="1"/>
  <c r="H729" i="2" a="1"/>
  <c r="H729" i="2" s="1"/>
  <c r="H725" i="2" a="1"/>
  <c r="H725" i="2" s="1"/>
  <c r="H721" i="2" a="1"/>
  <c r="H721" i="2" s="1"/>
  <c r="H717" i="2" a="1"/>
  <c r="H717" i="2" s="1"/>
  <c r="H713" i="2" a="1"/>
  <c r="H713" i="2" s="1"/>
  <c r="H709" i="2" a="1"/>
  <c r="H709" i="2" s="1"/>
  <c r="H705" i="2" a="1"/>
  <c r="H705" i="2" s="1"/>
  <c r="H697" i="2" a="1"/>
  <c r="H697" i="2" s="1"/>
  <c r="H685" i="2" a="1"/>
  <c r="H685" i="2" s="1"/>
  <c r="H595" i="2" a="1"/>
  <c r="H595" i="2" s="1"/>
  <c r="H562" i="2" a="1"/>
  <c r="H562" i="2" s="1"/>
  <c r="H586" i="2" a="1"/>
  <c r="H586" i="2" s="1"/>
  <c r="H587" i="2" a="1"/>
  <c r="H587" i="2" s="1"/>
  <c r="H781" i="2" a="1"/>
  <c r="H781" i="2" s="1"/>
  <c r="H691" i="2" a="1"/>
  <c r="H691" i="2" s="1"/>
  <c r="H588" i="2" a="1"/>
  <c r="H588" i="2" s="1"/>
  <c r="H742" i="2" a="1"/>
  <c r="H742" i="2" s="1"/>
  <c r="H714" i="2" a="1"/>
  <c r="H714" i="2" s="1"/>
  <c r="H686" i="2" a="1"/>
  <c r="H686" i="2" s="1"/>
  <c r="H779" i="2" a="1"/>
  <c r="H779" i="2" s="1"/>
  <c r="H785" i="2" a="1"/>
  <c r="H785" i="2" s="1"/>
  <c r="H681" i="2" a="1"/>
  <c r="H681" i="2" s="1"/>
  <c r="H677" i="2" a="1"/>
  <c r="H677" i="2" s="1"/>
  <c r="H673" i="2" a="1"/>
  <c r="H673" i="2" s="1"/>
  <c r="H669" i="2" a="1"/>
  <c r="H669" i="2" s="1"/>
  <c r="H665" i="2" a="1"/>
  <c r="H665" i="2" s="1"/>
  <c r="H661" i="2" a="1"/>
  <c r="H661" i="2" s="1"/>
  <c r="H657" i="2" a="1"/>
  <c r="H657" i="2" s="1"/>
  <c r="H653" i="2" a="1"/>
  <c r="H653" i="2" s="1"/>
  <c r="H649" i="2" a="1"/>
  <c r="H649" i="2" s="1"/>
  <c r="H645" i="2" a="1"/>
  <c r="H645" i="2" s="1"/>
  <c r="H641" i="2" a="1"/>
  <c r="H641" i="2" s="1"/>
  <c r="H637" i="2" a="1"/>
  <c r="H637" i="2" s="1"/>
  <c r="H633" i="2" a="1"/>
  <c r="H633" i="2" s="1"/>
  <c r="H629" i="2" a="1"/>
  <c r="H629" i="2" s="1"/>
  <c r="H625" i="2" a="1"/>
  <c r="H625" i="2" s="1"/>
  <c r="H621" i="2" a="1"/>
  <c r="H621" i="2" s="1"/>
  <c r="H617" i="2" a="1"/>
  <c r="H617" i="2" s="1"/>
  <c r="H613" i="2" a="1"/>
  <c r="H613" i="2" s="1"/>
  <c r="H609" i="2" a="1"/>
  <c r="H609" i="2" s="1"/>
  <c r="H605" i="2" a="1"/>
  <c r="H605" i="2" s="1"/>
  <c r="H596" i="2" a="1"/>
  <c r="H596" i="2" s="1"/>
  <c r="H590" i="2" a="1"/>
  <c r="H590" i="2" s="1"/>
  <c r="H585" i="2" a="1"/>
  <c r="H585" i="2" s="1"/>
  <c r="H581" i="2" a="1"/>
  <c r="H581" i="2" s="1"/>
  <c r="H577" i="2" a="1"/>
  <c r="H577" i="2" s="1"/>
  <c r="H573" i="2" a="1"/>
  <c r="H573" i="2" s="1"/>
  <c r="H565" i="2" a="1"/>
  <c r="H565" i="2" s="1"/>
  <c r="H584" i="2" a="1"/>
  <c r="H584" i="2" s="1"/>
  <c r="H794" i="2" a="1"/>
  <c r="H794" i="2" s="1"/>
  <c r="H755" i="2" a="1"/>
  <c r="H755" i="2" s="1"/>
  <c r="H739" i="2" a="1"/>
  <c r="H739" i="2" s="1"/>
  <c r="H719" i="2" a="1"/>
  <c r="H719" i="2" s="1"/>
  <c r="H699" i="2" a="1"/>
  <c r="H699" i="2" s="1"/>
  <c r="H593" i="2" a="1"/>
  <c r="H593" i="2" s="1"/>
  <c r="H746" i="2" a="1"/>
  <c r="H746" i="2" s="1"/>
  <c r="H710" i="2" a="1"/>
  <c r="H710" i="2" s="1"/>
  <c r="H682" i="2" a="1"/>
  <c r="H682" i="2" s="1"/>
  <c r="H786" i="2" a="1"/>
  <c r="H786" i="2" s="1"/>
  <c r="H792" i="2" a="1"/>
  <c r="H792" i="2" s="1"/>
  <c r="H776" i="2" a="1"/>
  <c r="H776" i="2" s="1"/>
  <c r="H772" i="2" a="1"/>
  <c r="H772" i="2" s="1"/>
  <c r="H768" i="2" a="1"/>
  <c r="H768" i="2" s="1"/>
  <c r="H764" i="2" a="1"/>
  <c r="H764" i="2" s="1"/>
  <c r="H760" i="2" a="1"/>
  <c r="H760" i="2" s="1"/>
  <c r="H756" i="2" a="1"/>
  <c r="H756" i="2" s="1"/>
  <c r="H752" i="2" a="1"/>
  <c r="H752" i="2" s="1"/>
  <c r="H748" i="2" a="1"/>
  <c r="H748" i="2" s="1"/>
  <c r="H744" i="2" a="1"/>
  <c r="H744" i="2" s="1"/>
  <c r="H740" i="2" a="1"/>
  <c r="H740" i="2" s="1"/>
  <c r="H736" i="2" a="1"/>
  <c r="H736" i="2" s="1"/>
  <c r="H732" i="2" a="1"/>
  <c r="H732" i="2" s="1"/>
  <c r="H728" i="2" a="1"/>
  <c r="H728" i="2" s="1"/>
  <c r="H724" i="2" a="1"/>
  <c r="H724" i="2" s="1"/>
  <c r="H720" i="2" a="1"/>
  <c r="H720" i="2" s="1"/>
  <c r="H716" i="2" a="1"/>
  <c r="H716" i="2" s="1"/>
  <c r="H712" i="2" a="1"/>
  <c r="H712" i="2" s="1"/>
  <c r="H708" i="2" a="1"/>
  <c r="H708" i="2" s="1"/>
  <c r="H704" i="2" a="1"/>
  <c r="H704" i="2" s="1"/>
  <c r="H700" i="2" a="1"/>
  <c r="H700" i="2" s="1"/>
  <c r="H696" i="2" a="1"/>
  <c r="H696" i="2" s="1"/>
  <c r="H692" i="2" a="1"/>
  <c r="H692" i="2" s="1"/>
  <c r="H688" i="2" a="1"/>
  <c r="H688" i="2" s="1"/>
  <c r="H684" i="2" a="1"/>
  <c r="H684" i="2" s="1"/>
  <c r="H597" i="2" a="1"/>
  <c r="H597" i="2" s="1"/>
  <c r="H591" i="2" a="1"/>
  <c r="H591" i="2" s="1"/>
  <c r="H561" i="2" a="1"/>
  <c r="H561" i="2" s="1"/>
  <c r="H580" i="2" a="1"/>
  <c r="H580" i="2" s="1"/>
  <c r="H775" i="2" a="1"/>
  <c r="H775" i="2" s="1"/>
  <c r="H759" i="2" a="1"/>
  <c r="H759" i="2" s="1"/>
  <c r="H743" i="2" a="1"/>
  <c r="H743" i="2" s="1"/>
  <c r="H723" i="2" a="1"/>
  <c r="H723" i="2" s="1"/>
  <c r="H695" i="2" a="1"/>
  <c r="H695" i="2" s="1"/>
  <c r="H600" i="2" a="1"/>
  <c r="H600" i="2" s="1"/>
  <c r="H556" i="2" a="1"/>
  <c r="H556" i="2" s="1"/>
  <c r="H722" i="2" a="1"/>
  <c r="H722" i="2" s="1"/>
  <c r="H690" i="2" a="1"/>
  <c r="H690" i="2" s="1"/>
  <c r="H555" i="2" a="1"/>
  <c r="H555" i="2" s="1"/>
  <c r="H780" i="2" a="1"/>
  <c r="H780" i="2" s="1"/>
  <c r="H787" i="2" a="1"/>
  <c r="H787" i="2" s="1"/>
  <c r="H793" i="2" a="1"/>
  <c r="H793" i="2" s="1"/>
  <c r="H679" i="2" a="1"/>
  <c r="H679" i="2" s="1"/>
  <c r="H676" i="2" a="1"/>
  <c r="H676" i="2" s="1"/>
  <c r="H672" i="2" a="1"/>
  <c r="H672" i="2" s="1"/>
  <c r="H668" i="2" a="1"/>
  <c r="H668" i="2" s="1"/>
  <c r="H664" i="2" a="1"/>
  <c r="H664" i="2" s="1"/>
  <c r="H660" i="2" a="1"/>
  <c r="H660" i="2" s="1"/>
  <c r="H656" i="2" a="1"/>
  <c r="H656" i="2" s="1"/>
  <c r="H652" i="2" a="1"/>
  <c r="H652" i="2" s="1"/>
  <c r="H648" i="2" a="1"/>
  <c r="H648" i="2" s="1"/>
  <c r="H644" i="2" a="1"/>
  <c r="H644" i="2" s="1"/>
  <c r="H640" i="2" a="1"/>
  <c r="H640" i="2" s="1"/>
  <c r="H636" i="2" a="1"/>
  <c r="H636" i="2" s="1"/>
  <c r="H632" i="2" a="1"/>
  <c r="H632" i="2" s="1"/>
  <c r="H628" i="2" a="1"/>
  <c r="H628" i="2" s="1"/>
  <c r="H624" i="2" a="1"/>
  <c r="H624" i="2" s="1"/>
  <c r="H620" i="2" a="1"/>
  <c r="H620" i="2" s="1"/>
  <c r="H616" i="2" a="1"/>
  <c r="H616" i="2" s="1"/>
  <c r="H612" i="2" a="1"/>
  <c r="H612" i="2" s="1"/>
  <c r="H608" i="2" a="1"/>
  <c r="H608" i="2" s="1"/>
  <c r="H599" i="2" a="1"/>
  <c r="H599" i="2" s="1"/>
  <c r="H598" i="2" a="1"/>
  <c r="H598" i="2" s="1"/>
  <c r="H592" i="2" a="1"/>
  <c r="H592" i="2" s="1"/>
  <c r="H572" i="2" a="1"/>
  <c r="H572" i="2" s="1"/>
  <c r="H767" i="2" a="1"/>
  <c r="H767" i="2" s="1"/>
  <c r="H751" i="2" a="1"/>
  <c r="H751" i="2" s="1"/>
  <c r="H731" i="2" a="1"/>
  <c r="H731" i="2" s="1"/>
  <c r="H711" i="2" a="1"/>
  <c r="H711" i="2" s="1"/>
  <c r="H687" i="2" a="1"/>
  <c r="H687" i="2" s="1"/>
  <c r="H568" i="2" a="1"/>
  <c r="H568" i="2" s="1"/>
  <c r="H734" i="2" a="1"/>
  <c r="H734" i="2" s="1"/>
  <c r="H706" i="2" a="1"/>
  <c r="H706" i="2" s="1"/>
  <c r="H602" i="2" a="1"/>
  <c r="H602" i="2" s="1"/>
  <c r="H727" i="2" a="1"/>
  <c r="H727" i="2" s="1"/>
  <c r="H707" i="2" a="1"/>
  <c r="H707" i="2" s="1"/>
  <c r="H683" i="2" a="1"/>
  <c r="H683" i="2" s="1"/>
  <c r="H560" i="2" a="1"/>
  <c r="H560" i="2" s="1"/>
  <c r="H730" i="2" a="1"/>
  <c r="H730" i="2" s="1"/>
  <c r="H702" i="2" a="1"/>
  <c r="H702" i="2" s="1"/>
  <c r="H563" i="2" a="1"/>
  <c r="H563" i="2" s="1"/>
  <c r="H782" i="2" a="1"/>
  <c r="H782" i="2" s="1"/>
  <c r="H788" i="2" a="1"/>
  <c r="H788" i="2" s="1"/>
  <c r="H795" i="2" a="1"/>
  <c r="H795" i="2" s="1"/>
  <c r="H675" i="2" a="1"/>
  <c r="H675" i="2" s="1"/>
  <c r="H671" i="2" a="1"/>
  <c r="H671" i="2" s="1"/>
  <c r="H667" i="2" a="1"/>
  <c r="H667" i="2" s="1"/>
  <c r="H663" i="2" a="1"/>
  <c r="H663" i="2" s="1"/>
  <c r="H659" i="2" a="1"/>
  <c r="H659" i="2" s="1"/>
  <c r="H655" i="2" a="1"/>
  <c r="H655" i="2" s="1"/>
  <c r="H651" i="2" a="1"/>
  <c r="H651" i="2" s="1"/>
  <c r="H647" i="2" a="1"/>
  <c r="H647" i="2" s="1"/>
  <c r="H643" i="2" a="1"/>
  <c r="H643" i="2" s="1"/>
  <c r="H639" i="2" a="1"/>
  <c r="H639" i="2" s="1"/>
  <c r="H635" i="2" a="1"/>
  <c r="H635" i="2" s="1"/>
  <c r="H631" i="2" a="1"/>
  <c r="H631" i="2" s="1"/>
  <c r="H627" i="2" a="1"/>
  <c r="H627" i="2" s="1"/>
  <c r="H623" i="2" a="1"/>
  <c r="H623" i="2" s="1"/>
  <c r="H619" i="2" a="1"/>
  <c r="H619" i="2" s="1"/>
  <c r="H615" i="2" a="1"/>
  <c r="H615" i="2" s="1"/>
  <c r="H611" i="2" a="1"/>
  <c r="H611" i="2" s="1"/>
  <c r="H607" i="2" a="1"/>
  <c r="H607" i="2" s="1"/>
  <c r="H601" i="2" a="1"/>
  <c r="H601" i="2" s="1"/>
  <c r="H589" i="2" a="1"/>
  <c r="H589" i="2" s="1"/>
  <c r="H583" i="2" a="1"/>
  <c r="H583" i="2" s="1"/>
  <c r="H579" i="2" a="1"/>
  <c r="H579" i="2" s="1"/>
  <c r="H575" i="2" a="1"/>
  <c r="H575" i="2" s="1"/>
  <c r="H571" i="2" a="1"/>
  <c r="H571" i="2" s="1"/>
  <c r="H783" i="2" a="1"/>
  <c r="H783" i="2" s="1"/>
  <c r="H789" i="2" a="1"/>
  <c r="H789" i="2" s="1"/>
  <c r="H774" i="2" a="1"/>
  <c r="H774" i="2" s="1"/>
  <c r="H770" i="2" a="1"/>
  <c r="H770" i="2" s="1"/>
  <c r="H766" i="2" a="1"/>
  <c r="H766" i="2" s="1"/>
  <c r="H762" i="2" a="1"/>
  <c r="H762" i="2" s="1"/>
  <c r="H758" i="2" a="1"/>
  <c r="H758" i="2" s="1"/>
  <c r="H754" i="2" a="1"/>
  <c r="H754" i="2" s="1"/>
  <c r="H750" i="2" a="1"/>
  <c r="H750" i="2" s="1"/>
  <c r="H726" i="2" a="1"/>
  <c r="H726" i="2" s="1"/>
  <c r="H698" i="2" a="1"/>
  <c r="H698" i="2" s="1"/>
  <c r="H559" i="2" a="1"/>
  <c r="H559" i="2" s="1"/>
  <c r="H48" i="2" a="1"/>
  <c r="H48" i="2" s="1"/>
  <c r="H554" i="2" a="1"/>
  <c r="H554" i="2" s="1"/>
  <c r="H550" i="2" a="1"/>
  <c r="H550" i="2" s="1"/>
  <c r="H546" i="2" a="1"/>
  <c r="H546" i="2" s="1"/>
  <c r="H542" i="2" a="1"/>
  <c r="H542" i="2" s="1"/>
  <c r="H538" i="2" a="1"/>
  <c r="H538" i="2" s="1"/>
  <c r="H534" i="2" a="1"/>
  <c r="H534" i="2" s="1"/>
  <c r="H530" i="2" a="1"/>
  <c r="H530" i="2" s="1"/>
  <c r="H526" i="2" a="1"/>
  <c r="H526" i="2" s="1"/>
  <c r="H522" i="2" a="1"/>
  <c r="H522" i="2" s="1"/>
  <c r="H518" i="2" a="1"/>
  <c r="H518" i="2" s="1"/>
  <c r="H514" i="2" a="1"/>
  <c r="H514" i="2" s="1"/>
  <c r="H510" i="2" a="1"/>
  <c r="H510" i="2" s="1"/>
  <c r="H506" i="2" a="1"/>
  <c r="H506" i="2" s="1"/>
  <c r="H502" i="2" a="1"/>
  <c r="H502" i="2" s="1"/>
  <c r="H498" i="2" a="1"/>
  <c r="H498" i="2" s="1"/>
  <c r="H494" i="2" a="1"/>
  <c r="H494" i="2" s="1"/>
  <c r="H490" i="2" a="1"/>
  <c r="H490" i="2" s="1"/>
  <c r="H486" i="2" a="1"/>
  <c r="H486" i="2" s="1"/>
  <c r="H482" i="2" a="1"/>
  <c r="H482" i="2" s="1"/>
  <c r="H478" i="2" a="1"/>
  <c r="H478" i="2" s="1"/>
  <c r="H474" i="2" a="1"/>
  <c r="H474" i="2" s="1"/>
  <c r="H470" i="2" a="1"/>
  <c r="H470" i="2" s="1"/>
  <c r="H466" i="2" a="1"/>
  <c r="H466" i="2" s="1"/>
  <c r="H462" i="2" a="1"/>
  <c r="H462" i="2" s="1"/>
  <c r="H458" i="2" a="1"/>
  <c r="H458" i="2" s="1"/>
  <c r="H454" i="2" a="1"/>
  <c r="H454" i="2" s="1"/>
  <c r="H450" i="2" a="1"/>
  <c r="H450" i="2" s="1"/>
  <c r="H446" i="2" a="1"/>
  <c r="H446" i="2" s="1"/>
  <c r="H442" i="2" a="1"/>
  <c r="H442" i="2" s="1"/>
  <c r="H438" i="2" a="1"/>
  <c r="H438" i="2" s="1"/>
  <c r="H434" i="2" a="1"/>
  <c r="H434" i="2" s="1"/>
  <c r="H410" i="2" a="1"/>
  <c r="H410" i="2" s="1"/>
  <c r="H382" i="2" a="1"/>
  <c r="H382" i="2" s="1"/>
  <c r="H326" i="2" a="1"/>
  <c r="H326" i="2" s="1"/>
  <c r="H549" i="2" a="1"/>
  <c r="H549" i="2" s="1"/>
  <c r="H541" i="2" a="1"/>
  <c r="H541" i="2" s="1"/>
  <c r="H533" i="2" a="1"/>
  <c r="H533" i="2" s="1"/>
  <c r="H521" i="2" a="1"/>
  <c r="H521" i="2" s="1"/>
  <c r="H513" i="2" a="1"/>
  <c r="H513" i="2" s="1"/>
  <c r="H505" i="2" a="1"/>
  <c r="H505" i="2" s="1"/>
  <c r="H497" i="2" a="1"/>
  <c r="H497" i="2" s="1"/>
  <c r="H489" i="2" a="1"/>
  <c r="H489" i="2" s="1"/>
  <c r="H481" i="2" a="1"/>
  <c r="H481" i="2" s="1"/>
  <c r="H473" i="2" a="1"/>
  <c r="H473" i="2" s="1"/>
  <c r="H465" i="2" a="1"/>
  <c r="H465" i="2" s="1"/>
  <c r="H453" i="2" a="1"/>
  <c r="H453" i="2" s="1"/>
  <c r="H445" i="2" a="1"/>
  <c r="H445" i="2" s="1"/>
  <c r="H437" i="2" a="1"/>
  <c r="H437" i="2" s="1"/>
  <c r="H429" i="2" a="1"/>
  <c r="H429" i="2" s="1"/>
  <c r="H421" i="2" a="1"/>
  <c r="H421" i="2" s="1"/>
  <c r="H413" i="2" a="1"/>
  <c r="H413" i="2" s="1"/>
  <c r="H405" i="2" a="1"/>
  <c r="H405" i="2" s="1"/>
  <c r="H397" i="2" a="1"/>
  <c r="H397" i="2" s="1"/>
  <c r="H389" i="2" a="1"/>
  <c r="H389" i="2" s="1"/>
  <c r="H381" i="2" a="1"/>
  <c r="H381" i="2" s="1"/>
  <c r="H373" i="2" a="1"/>
  <c r="H373" i="2" s="1"/>
  <c r="H365" i="2" a="1"/>
  <c r="H365" i="2" s="1"/>
  <c r="H325" i="2" a="1"/>
  <c r="H325" i="2" s="1"/>
  <c r="H351" i="2" a="1"/>
  <c r="H351" i="2" s="1"/>
  <c r="H383" i="2" a="1"/>
  <c r="H383" i="2" s="1"/>
  <c r="H357" i="2" a="1"/>
  <c r="H357" i="2" s="1"/>
  <c r="H430" i="2" a="1"/>
  <c r="H430" i="2" s="1"/>
  <c r="H398" i="2" a="1"/>
  <c r="H398" i="2" s="1"/>
  <c r="H374" i="2" a="1"/>
  <c r="H374" i="2" s="1"/>
  <c r="H348" i="2" a="1"/>
  <c r="H348" i="2" s="1"/>
  <c r="H553" i="2" a="1"/>
  <c r="H553" i="2" s="1"/>
  <c r="H545" i="2" a="1"/>
  <c r="H545" i="2" s="1"/>
  <c r="H537" i="2" a="1"/>
  <c r="H537" i="2" s="1"/>
  <c r="H529" i="2" a="1"/>
  <c r="H529" i="2" s="1"/>
  <c r="H525" i="2" a="1"/>
  <c r="H525" i="2" s="1"/>
  <c r="H517" i="2" a="1"/>
  <c r="H517" i="2" s="1"/>
  <c r="H509" i="2" a="1"/>
  <c r="H509" i="2" s="1"/>
  <c r="H501" i="2" a="1"/>
  <c r="H501" i="2" s="1"/>
  <c r="H493" i="2" a="1"/>
  <c r="H493" i="2" s="1"/>
  <c r="H485" i="2" a="1"/>
  <c r="H485" i="2" s="1"/>
  <c r="H477" i="2" a="1"/>
  <c r="H477" i="2" s="1"/>
  <c r="H469" i="2" a="1"/>
  <c r="H469" i="2" s="1"/>
  <c r="H461" i="2" a="1"/>
  <c r="H461" i="2" s="1"/>
  <c r="H457" i="2" a="1"/>
  <c r="H457" i="2" s="1"/>
  <c r="H449" i="2" a="1"/>
  <c r="H449" i="2" s="1"/>
  <c r="H441" i="2" a="1"/>
  <c r="H441" i="2" s="1"/>
  <c r="H433" i="2" a="1"/>
  <c r="H433" i="2" s="1"/>
  <c r="H425" i="2" a="1"/>
  <c r="H425" i="2" s="1"/>
  <c r="H417" i="2" a="1"/>
  <c r="H417" i="2" s="1"/>
  <c r="H409" i="2" a="1"/>
  <c r="H409" i="2" s="1"/>
  <c r="H401" i="2" a="1"/>
  <c r="H401" i="2" s="1"/>
  <c r="H393" i="2" a="1"/>
  <c r="H393" i="2" s="1"/>
  <c r="H385" i="2" a="1"/>
  <c r="H385" i="2" s="1"/>
  <c r="H377" i="2" a="1"/>
  <c r="H377" i="2" s="1"/>
  <c r="H369" i="2" a="1"/>
  <c r="H369" i="2" s="1"/>
  <c r="H361" i="2" a="1"/>
  <c r="H361" i="2" s="1"/>
  <c r="H355" i="2" a="1"/>
  <c r="H355" i="2" s="1"/>
  <c r="H347" i="2" a="1"/>
  <c r="H347" i="2" s="1"/>
  <c r="H371" i="2" a="1"/>
  <c r="H371" i="2" s="1"/>
  <c r="H349" i="2" a="1"/>
  <c r="H349" i="2" s="1"/>
  <c r="H414" i="2" a="1"/>
  <c r="H414" i="2" s="1"/>
  <c r="H394" i="2" a="1"/>
  <c r="H394" i="2" s="1"/>
  <c r="H370" i="2" a="1"/>
  <c r="H370" i="2" s="1"/>
  <c r="H344" i="2" a="1"/>
  <c r="H344" i="2" s="1"/>
  <c r="H548" i="2" a="1"/>
  <c r="H548" i="2" s="1"/>
  <c r="H540" i="2" a="1"/>
  <c r="H540" i="2" s="1"/>
  <c r="H532" i="2" a="1"/>
  <c r="H532" i="2" s="1"/>
  <c r="H528" i="2" a="1"/>
  <c r="H528" i="2" s="1"/>
  <c r="H520" i="2" a="1"/>
  <c r="H520" i="2" s="1"/>
  <c r="H512" i="2" a="1"/>
  <c r="H512" i="2" s="1"/>
  <c r="H504" i="2" a="1"/>
  <c r="H504" i="2" s="1"/>
  <c r="H500" i="2" a="1"/>
  <c r="H500" i="2" s="1"/>
  <c r="H492" i="2" a="1"/>
  <c r="H492" i="2" s="1"/>
  <c r="H484" i="2" a="1"/>
  <c r="H484" i="2" s="1"/>
  <c r="H480" i="2" a="1"/>
  <c r="H480" i="2" s="1"/>
  <c r="H472" i="2" a="1"/>
  <c r="H472" i="2" s="1"/>
  <c r="H468" i="2" a="1"/>
  <c r="H468" i="2" s="1"/>
  <c r="H460" i="2" a="1"/>
  <c r="H460" i="2" s="1"/>
  <c r="H452" i="2" a="1"/>
  <c r="H452" i="2" s="1"/>
  <c r="H448" i="2" a="1"/>
  <c r="H448" i="2" s="1"/>
  <c r="H440" i="2" a="1"/>
  <c r="H440" i="2" s="1"/>
  <c r="H432" i="2" a="1"/>
  <c r="H432" i="2" s="1"/>
  <c r="H424" i="2" a="1"/>
  <c r="H424" i="2" s="1"/>
  <c r="H420" i="2" a="1"/>
  <c r="H420" i="2" s="1"/>
  <c r="H412" i="2" a="1"/>
  <c r="H412" i="2" s="1"/>
  <c r="H404" i="2" a="1"/>
  <c r="H404" i="2" s="1"/>
  <c r="H396" i="2" a="1"/>
  <c r="H396" i="2" s="1"/>
  <c r="H392" i="2" a="1"/>
  <c r="H392" i="2" s="1"/>
  <c r="H384" i="2" a="1"/>
  <c r="H384" i="2" s="1"/>
  <c r="H376" i="2" a="1"/>
  <c r="H376" i="2" s="1"/>
  <c r="H368" i="2" a="1"/>
  <c r="H368" i="2" s="1"/>
  <c r="H364" i="2" a="1"/>
  <c r="H364" i="2" s="1"/>
  <c r="H358" i="2" a="1"/>
  <c r="H358" i="2" s="1"/>
  <c r="H350" i="2" a="1"/>
  <c r="H350" i="2" s="1"/>
  <c r="H346" i="2" a="1"/>
  <c r="H346" i="2" s="1"/>
  <c r="H431" i="2" a="1"/>
  <c r="H431" i="2" s="1"/>
  <c r="H419" i="2" a="1"/>
  <c r="H419" i="2" s="1"/>
  <c r="H411" i="2" a="1"/>
  <c r="H411" i="2" s="1"/>
  <c r="H399" i="2" a="1"/>
  <c r="H399" i="2" s="1"/>
  <c r="H387" i="2" a="1"/>
  <c r="H387" i="2" s="1"/>
  <c r="H375" i="2" a="1"/>
  <c r="H375" i="2" s="1"/>
  <c r="H363" i="2" a="1"/>
  <c r="H363" i="2" s="1"/>
  <c r="H353" i="2" a="1"/>
  <c r="H353" i="2" s="1"/>
  <c r="H422" i="2" a="1"/>
  <c r="H422" i="2" s="1"/>
  <c r="H406" i="2" a="1"/>
  <c r="H406" i="2" s="1"/>
  <c r="H386" i="2" a="1"/>
  <c r="H386" i="2" s="1"/>
  <c r="H366" i="2" a="1"/>
  <c r="H366" i="2" s="1"/>
  <c r="H352" i="2" a="1"/>
  <c r="H352" i="2" s="1"/>
  <c r="H552" i="2" a="1"/>
  <c r="H552" i="2" s="1"/>
  <c r="H544" i="2" a="1"/>
  <c r="H544" i="2" s="1"/>
  <c r="H536" i="2" a="1"/>
  <c r="H536" i="2" s="1"/>
  <c r="H524" i="2" a="1"/>
  <c r="H524" i="2" s="1"/>
  <c r="H516" i="2" a="1"/>
  <c r="H516" i="2" s="1"/>
  <c r="H508" i="2" a="1"/>
  <c r="H508" i="2" s="1"/>
  <c r="H496" i="2" a="1"/>
  <c r="H496" i="2" s="1"/>
  <c r="H488" i="2" a="1"/>
  <c r="H488" i="2" s="1"/>
  <c r="H476" i="2" a="1"/>
  <c r="H476" i="2" s="1"/>
  <c r="H464" i="2" a="1"/>
  <c r="H464" i="2" s="1"/>
  <c r="H456" i="2" a="1"/>
  <c r="H456" i="2" s="1"/>
  <c r="H444" i="2" a="1"/>
  <c r="H444" i="2" s="1"/>
  <c r="H436" i="2" a="1"/>
  <c r="H436" i="2" s="1"/>
  <c r="H428" i="2" a="1"/>
  <c r="H428" i="2" s="1"/>
  <c r="H416" i="2" a="1"/>
  <c r="H416" i="2" s="1"/>
  <c r="H408" i="2" a="1"/>
  <c r="H408" i="2" s="1"/>
  <c r="H400" i="2" a="1"/>
  <c r="H400" i="2" s="1"/>
  <c r="H388" i="2" a="1"/>
  <c r="H388" i="2" s="1"/>
  <c r="H380" i="2" a="1"/>
  <c r="H380" i="2" s="1"/>
  <c r="H372" i="2" a="1"/>
  <c r="H372" i="2" s="1"/>
  <c r="H360" i="2" a="1"/>
  <c r="H360" i="2" s="1"/>
  <c r="H354" i="2" a="1"/>
  <c r="H354" i="2" s="1"/>
  <c r="H435" i="2" a="1"/>
  <c r="H435" i="2" s="1"/>
  <c r="H423" i="2" a="1"/>
  <c r="H423" i="2" s="1"/>
  <c r="H407" i="2" a="1"/>
  <c r="H407" i="2" s="1"/>
  <c r="H395" i="2" a="1"/>
  <c r="H395" i="2" s="1"/>
  <c r="H367" i="2" a="1"/>
  <c r="H367" i="2" s="1"/>
  <c r="H418" i="2" a="1"/>
  <c r="H418" i="2" s="1"/>
  <c r="H390" i="2" a="1"/>
  <c r="H390" i="2" s="1"/>
  <c r="H362" i="2" a="1"/>
  <c r="H362" i="2" s="1"/>
  <c r="H551" i="2" a="1"/>
  <c r="H551" i="2" s="1"/>
  <c r="H547" i="2" a="1"/>
  <c r="H547" i="2" s="1"/>
  <c r="H543" i="2" a="1"/>
  <c r="H543" i="2" s="1"/>
  <c r="H539" i="2" a="1"/>
  <c r="H539" i="2" s="1"/>
  <c r="H535" i="2" a="1"/>
  <c r="H535" i="2" s="1"/>
  <c r="H531" i="2" a="1"/>
  <c r="H531" i="2" s="1"/>
  <c r="H527" i="2" a="1"/>
  <c r="H527" i="2" s="1"/>
  <c r="H523" i="2" a="1"/>
  <c r="H523" i="2" s="1"/>
  <c r="H519" i="2" a="1"/>
  <c r="H519" i="2" s="1"/>
  <c r="H515" i="2" a="1"/>
  <c r="H515" i="2" s="1"/>
  <c r="H511" i="2" a="1"/>
  <c r="H511" i="2" s="1"/>
  <c r="H507" i="2" a="1"/>
  <c r="H507" i="2" s="1"/>
  <c r="H503" i="2" a="1"/>
  <c r="H503" i="2" s="1"/>
  <c r="H499" i="2" a="1"/>
  <c r="H499" i="2" s="1"/>
  <c r="H495" i="2" a="1"/>
  <c r="H495" i="2" s="1"/>
  <c r="H491" i="2" a="1"/>
  <c r="H491" i="2" s="1"/>
  <c r="H487" i="2" a="1"/>
  <c r="H487" i="2" s="1"/>
  <c r="H483" i="2" a="1"/>
  <c r="H483" i="2" s="1"/>
  <c r="H479" i="2" a="1"/>
  <c r="H479" i="2" s="1"/>
  <c r="H475" i="2" a="1"/>
  <c r="H475" i="2" s="1"/>
  <c r="H471" i="2" a="1"/>
  <c r="H471" i="2" s="1"/>
  <c r="H467" i="2" a="1"/>
  <c r="H467" i="2" s="1"/>
  <c r="H463" i="2" a="1"/>
  <c r="H463" i="2" s="1"/>
  <c r="H459" i="2" a="1"/>
  <c r="H459" i="2" s="1"/>
  <c r="H455" i="2" a="1"/>
  <c r="H455" i="2" s="1"/>
  <c r="H451" i="2" a="1"/>
  <c r="H451" i="2" s="1"/>
  <c r="H447" i="2" a="1"/>
  <c r="H447" i="2" s="1"/>
  <c r="H443" i="2" a="1"/>
  <c r="H443" i="2" s="1"/>
  <c r="H439" i="2" a="1"/>
  <c r="H439" i="2" s="1"/>
  <c r="H427" i="2" a="1"/>
  <c r="H427" i="2" s="1"/>
  <c r="H415" i="2" a="1"/>
  <c r="H415" i="2" s="1"/>
  <c r="H403" i="2" a="1"/>
  <c r="H403" i="2" s="1"/>
  <c r="H391" i="2" a="1"/>
  <c r="H391" i="2" s="1"/>
  <c r="H379" i="2" a="1"/>
  <c r="H379" i="2" s="1"/>
  <c r="H359" i="2" a="1"/>
  <c r="H359" i="2" s="1"/>
  <c r="H345" i="2" a="1"/>
  <c r="H345" i="2" s="1"/>
  <c r="H426" i="2" a="1"/>
  <c r="H426" i="2" s="1"/>
  <c r="H402" i="2" a="1"/>
  <c r="H402" i="2" s="1"/>
  <c r="H378" i="2" a="1"/>
  <c r="H378" i="2" s="1"/>
  <c r="H356" i="2" a="1"/>
  <c r="H356" i="2" s="1"/>
  <c r="H100" i="2" a="1"/>
  <c r="H100" i="2" s="1"/>
  <c r="H335" i="2" a="1"/>
  <c r="H335" i="2" s="1"/>
  <c r="H343" i="2" a="1"/>
  <c r="H343" i="2" s="1"/>
  <c r="H331" i="2" a="1"/>
  <c r="H331" i="2" s="1"/>
  <c r="H336" i="2" a="1"/>
  <c r="H336" i="2" s="1"/>
  <c r="H330" i="2" a="1"/>
  <c r="H330" i="2" s="1"/>
  <c r="H337" i="2" a="1"/>
  <c r="H337" i="2" s="1"/>
  <c r="H334" i="2" a="1"/>
  <c r="H334" i="2" s="1"/>
  <c r="H342" i="2" a="1"/>
  <c r="H342" i="2" s="1"/>
  <c r="H338" i="2" a="1"/>
  <c r="H338" i="2" s="1"/>
  <c r="H329" i="2" a="1"/>
  <c r="H329" i="2" s="1"/>
  <c r="H328" i="2" a="1"/>
  <c r="H328" i="2" s="1"/>
  <c r="H339" i="2" a="1"/>
  <c r="H339" i="2" s="1"/>
  <c r="H333" i="2" a="1"/>
  <c r="H333" i="2" s="1"/>
  <c r="H327" i="2" a="1"/>
  <c r="H327" i="2" s="1"/>
  <c r="H340" i="2" a="1"/>
  <c r="H340" i="2" s="1"/>
  <c r="E13" i="5" s="1"/>
  <c r="E14" i="5" s="1"/>
  <c r="H341" i="2" a="1"/>
  <c r="H341" i="2" s="1"/>
  <c r="H332" i="2" a="1"/>
  <c r="H332" i="2" s="1"/>
  <c r="H72" i="2" a="1"/>
  <c r="H72" i="2" s="1"/>
  <c r="H44" i="2" a="1"/>
  <c r="H44" i="2" s="1"/>
  <c r="H32" i="2" a="1"/>
  <c r="H32" i="2" s="1"/>
  <c r="H40" i="2" a="1"/>
  <c r="H40" i="2" s="1"/>
  <c r="H53" i="2" a="1"/>
  <c r="H53" i="2" s="1"/>
  <c r="H13" i="2" a="1"/>
  <c r="H13" i="2" s="1"/>
  <c r="H12" i="2" a="1"/>
  <c r="H12" i="2" s="1"/>
  <c r="H35" i="2" a="1"/>
  <c r="H35" i="2" s="1"/>
  <c r="H16" i="2" a="1"/>
  <c r="H16" i="2" s="1"/>
  <c r="H20" i="2" a="1"/>
  <c r="H20" i="2" s="1"/>
  <c r="H26" i="2" a="1"/>
  <c r="H26" i="2" s="1"/>
  <c r="H39" i="2" a="1"/>
  <c r="H39" i="2" s="1"/>
  <c r="H67" i="2" a="1"/>
  <c r="H67" i="2" s="1"/>
  <c r="H75" i="2" a="1"/>
  <c r="H75" i="2" s="1"/>
  <c r="H79" i="2" a="1"/>
  <c r="H79" i="2" s="1"/>
  <c r="H66" i="2" a="1"/>
  <c r="H66" i="2" s="1"/>
  <c r="H86" i="2" a="1"/>
  <c r="H86" i="2" s="1"/>
  <c r="H90" i="2" a="1"/>
  <c r="H90" i="2" s="1"/>
  <c r="H94" i="2" a="1"/>
  <c r="H94" i="2" s="1"/>
  <c r="H98" i="2" a="1"/>
  <c r="H98" i="2" s="1"/>
  <c r="H101" i="2" a="1"/>
  <c r="H101" i="2" s="1"/>
  <c r="H65" i="2" a="1"/>
  <c r="H65" i="2" s="1"/>
  <c r="H87" i="2" a="1"/>
  <c r="H87" i="2" s="1"/>
  <c r="H103" i="2" a="1"/>
  <c r="H103" i="2" s="1"/>
  <c r="H34" i="2" a="1"/>
  <c r="H34" i="2" s="1"/>
  <c r="H29" i="2" a="1"/>
  <c r="H29" i="2" s="1"/>
  <c r="H41" i="2" a="1"/>
  <c r="H41" i="2" s="1"/>
  <c r="H45" i="2" a="1"/>
  <c r="H45" i="2" s="1"/>
  <c r="H49" i="2" a="1"/>
  <c r="H49" i="2" s="1"/>
  <c r="H73" i="2" a="1"/>
  <c r="H73" i="2" s="1"/>
  <c r="H17" i="2" a="1"/>
  <c r="H17" i="2" s="1"/>
  <c r="H76" i="2" a="1"/>
  <c r="H76" i="2" s="1"/>
  <c r="H83" i="2" a="1"/>
  <c r="H83" i="2" s="1"/>
  <c r="H91" i="2" a="1"/>
  <c r="H91" i="2" s="1"/>
  <c r="H102" i="2" a="1"/>
  <c r="H102" i="2" s="1"/>
  <c r="H14" i="2" a="1"/>
  <c r="H14" i="2" s="1"/>
  <c r="H22" i="2" a="1"/>
  <c r="H22" i="2" s="1"/>
  <c r="H28" i="2" a="1"/>
  <c r="H28" i="2" s="1"/>
  <c r="H68" i="2" a="1"/>
  <c r="H68" i="2" s="1"/>
  <c r="H77" i="2" a="1"/>
  <c r="H77" i="2" s="1"/>
  <c r="H81" i="2" a="1"/>
  <c r="H81" i="2" s="1"/>
  <c r="H84" i="2" a="1"/>
  <c r="H84" i="2" s="1"/>
  <c r="H88" i="2" a="1"/>
  <c r="H88" i="2" s="1"/>
  <c r="H92" i="2" a="1"/>
  <c r="H92" i="2" s="1"/>
  <c r="H96" i="2" a="1"/>
  <c r="H96" i="2" s="1"/>
  <c r="H99" i="2" a="1"/>
  <c r="H99" i="2" s="1"/>
  <c r="H104" i="2" a="1"/>
  <c r="H104" i="2" s="1"/>
  <c r="H21" i="2" a="1"/>
  <c r="H21" i="2" s="1"/>
  <c r="H80" i="2" a="1"/>
  <c r="H80" i="2" s="1"/>
  <c r="H95" i="2" a="1"/>
  <c r="H95" i="2" s="1"/>
  <c r="H18" i="2" a="1"/>
  <c r="H18" i="2" s="1"/>
  <c r="H37" i="2" a="1"/>
  <c r="H37" i="2" s="1"/>
  <c r="H42" i="2" a="1"/>
  <c r="H42" i="2" s="1"/>
  <c r="H46" i="2" a="1"/>
  <c r="H46" i="2" s="1"/>
  <c r="H50" i="2" a="1"/>
  <c r="H50" i="2" s="1"/>
  <c r="H74" i="2" a="1"/>
  <c r="H74" i="2" s="1"/>
  <c r="H33" i="2" a="1"/>
  <c r="H33" i="2" s="1"/>
  <c r="H19" i="2" a="1"/>
  <c r="H19" i="2" s="1"/>
  <c r="H30" i="2" a="1"/>
  <c r="H30" i="2" s="1"/>
  <c r="H78" i="2" a="1"/>
  <c r="H78" i="2" s="1"/>
  <c r="H85" i="2" a="1"/>
  <c r="H85" i="2" s="1"/>
  <c r="H89" i="2" a="1"/>
  <c r="H89" i="2" s="1"/>
  <c r="H93" i="2" a="1"/>
  <c r="H93" i="2" s="1"/>
  <c r="H97" i="2" a="1"/>
  <c r="H97" i="2" s="1"/>
  <c r="H27" i="2" a="1"/>
  <c r="H27" i="2" s="1"/>
  <c r="H15" i="2" a="1"/>
  <c r="H15" i="2" s="1"/>
  <c r="H25" i="2" a="1"/>
  <c r="H25" i="2" s="1"/>
  <c r="H57" i="2" a="1"/>
  <c r="H57" i="2" s="1"/>
  <c r="H64" i="2" a="1"/>
  <c r="H64" i="2" s="1"/>
  <c r="H324" i="2" a="1"/>
  <c r="H324" i="2" s="1"/>
  <c r="H319" i="2" a="1"/>
  <c r="H319" i="2" s="1"/>
  <c r="H316" i="2" a="1"/>
  <c r="H316" i="2" s="1"/>
  <c r="H323" i="2" a="1"/>
  <c r="H323" i="2" s="1"/>
  <c r="H315" i="2" a="1"/>
  <c r="H315" i="2" s="1"/>
  <c r="H318" i="2" a="1"/>
  <c r="H318" i="2" s="1"/>
  <c r="H314" i="2" a="1"/>
  <c r="H314" i="2" s="1"/>
  <c r="H322" i="2" a="1"/>
  <c r="H322" i="2" s="1"/>
  <c r="H317" i="2" a="1"/>
  <c r="H317" i="2" s="1"/>
  <c r="H312" i="2" a="1"/>
  <c r="H312" i="2" s="1"/>
  <c r="H321" i="2" a="1"/>
  <c r="H321" i="2" s="1"/>
  <c r="H313" i="2" a="1"/>
  <c r="H313" i="2" s="1"/>
  <c r="H320" i="2" a="1"/>
  <c r="H320" i="2" s="1"/>
  <c r="H311" i="2" a="1"/>
  <c r="H311" i="2" s="1"/>
  <c r="H287" i="2" a="1"/>
  <c r="H287" i="2" s="1"/>
  <c r="H299" i="2" a="1"/>
  <c r="H299" i="2" s="1"/>
  <c r="H307" i="2" a="1"/>
  <c r="H307" i="2" s="1"/>
  <c r="H305" i="2" a="1"/>
  <c r="H305" i="2" s="1"/>
  <c r="H301" i="2" a="1"/>
  <c r="H301" i="2" s="1"/>
  <c r="H310" i="2" a="1"/>
  <c r="H310" i="2" s="1"/>
  <c r="H302" i="2" a="1"/>
  <c r="H302" i="2" s="1"/>
  <c r="H288" i="2" a="1"/>
  <c r="H288" i="2" s="1"/>
  <c r="H306" i="2" a="1"/>
  <c r="H306" i="2" s="1"/>
  <c r="H298" i="2" a="1"/>
  <c r="H298" i="2" s="1"/>
  <c r="H309" i="2" a="1"/>
  <c r="H309" i="2" s="1"/>
  <c r="H304" i="2" a="1"/>
  <c r="H304" i="2" s="1"/>
  <c r="H300" i="2" a="1"/>
  <c r="H300" i="2" s="1"/>
  <c r="H308" i="2" a="1"/>
  <c r="H308" i="2" s="1"/>
  <c r="H303" i="2" a="1"/>
  <c r="H303" i="2" s="1"/>
  <c r="H297" i="2" a="1"/>
  <c r="H297" i="2" s="1"/>
  <c r="H289" i="2" a="1"/>
  <c r="H289" i="2" s="1"/>
  <c r="H292" i="2" a="1"/>
  <c r="H292" i="2" s="1"/>
  <c r="H290" i="2" a="1"/>
  <c r="H290" i="2" s="1"/>
  <c r="H296" i="2" a="1"/>
  <c r="H296" i="2" s="1"/>
  <c r="H294" i="2" a="1"/>
  <c r="H294" i="2" s="1"/>
  <c r="H291" i="2" a="1"/>
  <c r="H291" i="2" s="1"/>
  <c r="H295" i="2" a="1"/>
  <c r="H295" i="2" s="1"/>
  <c r="H293" i="2" a="1"/>
  <c r="H293" i="2" s="1"/>
  <c r="H282" i="2" a="1"/>
  <c r="H282" i="2" s="1"/>
  <c r="H278" i="2" a="1"/>
  <c r="H278" i="2" s="1"/>
  <c r="H285" i="2" a="1"/>
  <c r="H285" i="2" s="1"/>
  <c r="H274" i="2" a="1"/>
  <c r="H274" i="2" s="1"/>
  <c r="H284" i="2" a="1"/>
  <c r="H284" i="2" s="1"/>
  <c r="H277" i="2" a="1"/>
  <c r="H277" i="2" s="1"/>
  <c r="H281" i="2" a="1"/>
  <c r="H281" i="2" s="1"/>
  <c r="H276" i="2" a="1"/>
  <c r="H276" i="2" s="1"/>
  <c r="H283" i="2" a="1"/>
  <c r="H283" i="2" s="1"/>
  <c r="H280" i="2" a="1"/>
  <c r="H280" i="2" s="1"/>
  <c r="H275" i="2" a="1"/>
  <c r="H275" i="2" s="1"/>
  <c r="H286" i="2" a="1"/>
  <c r="H286" i="2" s="1"/>
  <c r="H279" i="2" a="1"/>
  <c r="H279" i="2" s="1"/>
  <c r="H273" i="2" a="1"/>
  <c r="H273" i="2" s="1"/>
  <c r="H256" i="2" a="1"/>
  <c r="H256" i="2" s="1"/>
  <c r="H265" i="2" a="1"/>
  <c r="H265" i="2" s="1"/>
  <c r="H261" i="2" a="1"/>
  <c r="H261" i="2" s="1"/>
  <c r="H267" i="2" a="1"/>
  <c r="H267" i="2" s="1"/>
  <c r="H251" i="2" a="1"/>
  <c r="H251" i="2" s="1"/>
  <c r="H244" i="2" a="1"/>
  <c r="H244" i="2" s="1"/>
  <c r="H245" i="2" a="1"/>
  <c r="H245" i="2" s="1"/>
  <c r="H271" i="2" a="1"/>
  <c r="H271" i="2" s="1"/>
  <c r="H269" i="2" a="1"/>
  <c r="H269" i="2" s="1"/>
  <c r="H252" i="2" a="1"/>
  <c r="H252" i="2" s="1"/>
  <c r="H247" i="2" a="1"/>
  <c r="H247" i="2" s="1"/>
  <c r="H270" i="2" a="1"/>
  <c r="H270" i="2" s="1"/>
  <c r="H253" i="2" a="1"/>
  <c r="H253" i="2" s="1"/>
  <c r="H254" i="2" a="1"/>
  <c r="H254" i="2" s="1"/>
  <c r="H266" i="2" a="1"/>
  <c r="H266" i="2" s="1"/>
  <c r="H249" i="2" a="1"/>
  <c r="H249" i="2" s="1"/>
  <c r="H272" i="2" a="1"/>
  <c r="H272" i="2" s="1"/>
  <c r="H262" i="2" a="1"/>
  <c r="H262" i="2" s="1"/>
  <c r="H250" i="2" a="1"/>
  <c r="H250" i="2" s="1"/>
  <c r="H257" i="2" a="1"/>
  <c r="H257" i="2" s="1"/>
  <c r="H255" i="2" a="1"/>
  <c r="H255" i="2" s="1"/>
  <c r="H263" i="2" a="1"/>
  <c r="H263" i="2" s="1"/>
  <c r="H258" i="2" a="1"/>
  <c r="H258" i="2" s="1"/>
  <c r="H246" i="2" a="1"/>
  <c r="H246" i="2" s="1"/>
  <c r="H264" i="2" a="1"/>
  <c r="H264" i="2" s="1"/>
  <c r="H259" i="2" a="1"/>
  <c r="H259" i="2" s="1"/>
  <c r="H268" i="2" a="1"/>
  <c r="H268" i="2" s="1"/>
  <c r="H260" i="2" a="1"/>
  <c r="H260" i="2" s="1"/>
  <c r="H248" i="2" a="1"/>
  <c r="H248" i="2" s="1"/>
  <c r="H243" i="2" a="1"/>
  <c r="H243" i="2" s="1"/>
  <c r="H239" i="2" a="1"/>
  <c r="H239" i="2" s="1"/>
  <c r="H229" i="2" a="1"/>
  <c r="H229" i="2" s="1"/>
  <c r="H236" i="2" a="1"/>
  <c r="H236" i="2" s="1"/>
  <c r="H242" i="2" a="1"/>
  <c r="H242" i="2" s="1"/>
  <c r="H238" i="2" a="1"/>
  <c r="H238" i="2" s="1"/>
  <c r="H237" i="2" a="1"/>
  <c r="H237" i="2" s="1"/>
  <c r="H233" i="2" a="1"/>
  <c r="H233" i="2" s="1"/>
  <c r="H241" i="2" a="1"/>
  <c r="H241" i="2" s="1"/>
  <c r="H240" i="2" a="1"/>
  <c r="H240" i="2" s="1"/>
  <c r="H235" i="2" a="1"/>
  <c r="H235" i="2" s="1"/>
  <c r="H232" i="2" a="1"/>
  <c r="H232" i="2" s="1"/>
  <c r="H234" i="2" a="1"/>
  <c r="H234" i="2" s="1"/>
  <c r="H228" i="2" a="1"/>
  <c r="H228" i="2" s="1"/>
  <c r="H220" i="2" a="1"/>
  <c r="H220" i="2" s="1"/>
  <c r="H218" i="2" a="1"/>
  <c r="H218" i="2" s="1"/>
  <c r="H225" i="2" a="1"/>
  <c r="H225" i="2" s="1"/>
  <c r="H231" i="2" a="1"/>
  <c r="H231" i="2" s="1"/>
  <c r="H222" i="2" a="1"/>
  <c r="H222" i="2" s="1"/>
  <c r="H214" i="2" a="1"/>
  <c r="H214" i="2" s="1"/>
  <c r="H224" i="2" a="1"/>
  <c r="H224" i="2" s="1"/>
  <c r="H217" i="2" a="1"/>
  <c r="H217" i="2" s="1"/>
  <c r="H230" i="2" a="1"/>
  <c r="H230" i="2" s="1"/>
  <c r="H221" i="2" a="1"/>
  <c r="H221" i="2" s="1"/>
  <c r="H219" i="2" a="1"/>
  <c r="H219" i="2" s="1"/>
  <c r="H213" i="2" a="1"/>
  <c r="H213" i="2" s="1"/>
  <c r="H226" i="2" a="1"/>
  <c r="H226" i="2" s="1"/>
  <c r="H227" i="2" a="1"/>
  <c r="H227" i="2" s="1"/>
  <c r="H223" i="2" a="1"/>
  <c r="H223" i="2" s="1"/>
  <c r="H215" i="2" a="1"/>
  <c r="H215" i="2" s="1"/>
  <c r="H216" i="2" a="1"/>
  <c r="H216" i="2" s="1"/>
  <c r="H212" i="2" a="1"/>
  <c r="H212" i="2" s="1"/>
  <c r="H211" i="2" a="1"/>
  <c r="H211" i="2" s="1"/>
  <c r="H209" i="2" a="1"/>
  <c r="H209" i="2" s="1"/>
  <c r="H210" i="2" a="1"/>
  <c r="H210" i="2" s="1"/>
  <c r="H205" i="2" a="1"/>
  <c r="H205" i="2" s="1"/>
  <c r="H204" i="2" a="1"/>
  <c r="H204" i="2" s="1"/>
  <c r="H208" i="2" a="1"/>
  <c r="H208" i="2" s="1"/>
  <c r="H203" i="2" a="1"/>
  <c r="H203" i="2" s="1"/>
  <c r="H207" i="2" a="1"/>
  <c r="H207" i="2" s="1"/>
  <c r="H206" i="2" a="1"/>
  <c r="H206" i="2" s="1"/>
  <c r="H195" i="2" a="1"/>
  <c r="H195" i="2" s="1"/>
  <c r="H187" i="2" a="1"/>
  <c r="H187" i="2" s="1"/>
  <c r="H201" i="2" a="1"/>
  <c r="H201" i="2" s="1"/>
  <c r="H193" i="2" a="1"/>
  <c r="H193" i="2" s="1"/>
  <c r="H185" i="2" a="1"/>
  <c r="H185" i="2" s="1"/>
  <c r="H200" i="2" a="1"/>
  <c r="H200" i="2" s="1"/>
  <c r="H192" i="2" a="1"/>
  <c r="H192" i="2" s="1"/>
  <c r="H197" i="2" a="1"/>
  <c r="H197" i="2" s="1"/>
  <c r="H194" i="2" a="1"/>
  <c r="H194" i="2" s="1"/>
  <c r="H196" i="2" a="1"/>
  <c r="H196" i="2" s="1"/>
  <c r="H189" i="2" a="1"/>
  <c r="H189" i="2" s="1"/>
  <c r="H184" i="2" a="1"/>
  <c r="H184" i="2" s="1"/>
  <c r="H199" i="2" a="1"/>
  <c r="H199" i="2" s="1"/>
  <c r="H191" i="2" a="1"/>
  <c r="H191" i="2" s="1"/>
  <c r="H198" i="2" a="1"/>
  <c r="H198" i="2" s="1"/>
  <c r="H202" i="2" a="1"/>
  <c r="H202" i="2" s="1"/>
  <c r="H188" i="2" a="1"/>
  <c r="H188" i="2" s="1"/>
  <c r="H190" i="2" a="1"/>
  <c r="H190" i="2" s="1"/>
  <c r="H178" i="2" a="1"/>
  <c r="H178" i="2" s="1"/>
  <c r="H173" i="2" a="1"/>
  <c r="H173" i="2" s="1"/>
  <c r="H165" i="2" a="1"/>
  <c r="H165" i="2" s="1"/>
  <c r="H186" i="2" a="1"/>
  <c r="H186" i="2" s="1"/>
  <c r="H176" i="2" a="1"/>
  <c r="H176" i="2" s="1"/>
  <c r="H172" i="2" a="1"/>
  <c r="H172" i="2" s="1"/>
  <c r="H163" i="2" a="1"/>
  <c r="H163" i="2" s="1"/>
  <c r="H183" i="2" a="1"/>
  <c r="H183" i="2" s="1"/>
  <c r="H180" i="2" a="1"/>
  <c r="H180" i="2" s="1"/>
  <c r="H179" i="2" a="1"/>
  <c r="H179" i="2" s="1"/>
  <c r="H175" i="2" a="1"/>
  <c r="H175" i="2" s="1"/>
  <c r="H162" i="2" a="1"/>
  <c r="H162" i="2" s="1"/>
  <c r="H182" i="2" a="1"/>
  <c r="H182" i="2" s="1"/>
  <c r="H167" i="2" a="1"/>
  <c r="H167" i="2" s="1"/>
  <c r="H168" i="2" a="1"/>
  <c r="H168" i="2" s="1"/>
  <c r="H177" i="2" a="1"/>
  <c r="H177" i="2" s="1"/>
  <c r="H174" i="2" a="1"/>
  <c r="H174" i="2" s="1"/>
  <c r="H181" i="2" a="1"/>
  <c r="H181" i="2" s="1"/>
  <c r="H169" i="2" a="1"/>
  <c r="H169" i="2" s="1"/>
  <c r="H171" i="2" a="1"/>
  <c r="H171" i="2" s="1"/>
  <c r="H156" i="2" a="1"/>
  <c r="H156" i="2" s="1"/>
  <c r="H148" i="2" a="1"/>
  <c r="H148" i="2" s="1"/>
  <c r="H159" i="2" a="1"/>
  <c r="H159" i="2" s="1"/>
  <c r="H151" i="2" a="1"/>
  <c r="H151" i="2" s="1"/>
  <c r="H157" i="2" a="1"/>
  <c r="H157" i="2" s="1"/>
  <c r="H155" i="2" a="1"/>
  <c r="H155" i="2" s="1"/>
  <c r="H147" i="2" a="1"/>
  <c r="H147" i="2" s="1"/>
  <c r="H143" i="2" a="1"/>
  <c r="H143" i="2" s="1"/>
  <c r="H166" i="2" a="1"/>
  <c r="H166" i="2" s="1"/>
  <c r="H158" i="2" a="1"/>
  <c r="H158" i="2" s="1"/>
  <c r="H150" i="2" a="1"/>
  <c r="H150" i="2" s="1"/>
  <c r="H153" i="2" a="1"/>
  <c r="H153" i="2" s="1"/>
  <c r="H170" i="2" a="1"/>
  <c r="H170" i="2" s="1"/>
  <c r="H154" i="2" a="1"/>
  <c r="H154" i="2" s="1"/>
  <c r="H146" i="2" a="1"/>
  <c r="H146" i="2" s="1"/>
  <c r="H145" i="2" a="1"/>
  <c r="H145" i="2" s="1"/>
  <c r="H164" i="2" a="1"/>
  <c r="H164" i="2" s="1"/>
  <c r="H161" i="2" a="1"/>
  <c r="H161" i="2" s="1"/>
  <c r="H149" i="2" a="1"/>
  <c r="H149" i="2" s="1"/>
  <c r="H160" i="2" a="1"/>
  <c r="H160" i="2" s="1"/>
  <c r="H152" i="2" a="1"/>
  <c r="H152" i="2" s="1"/>
  <c r="H144" i="2" a="1"/>
  <c r="H144" i="2" s="1"/>
  <c r="H142" i="2" a="1"/>
  <c r="H142" i="2" s="1"/>
  <c r="H138" i="2" a="1"/>
  <c r="H138" i="2" s="1"/>
  <c r="H134" i="2" a="1"/>
  <c r="H134" i="2" s="1"/>
  <c r="H126" i="2" a="1"/>
  <c r="H126" i="2" s="1"/>
  <c r="H133" i="2" a="1"/>
  <c r="H133" i="2" s="1"/>
  <c r="H131" i="2" a="1"/>
  <c r="H131" i="2" s="1"/>
  <c r="H141" i="2" a="1"/>
  <c r="H141" i="2" s="1"/>
  <c r="H137" i="2" a="1"/>
  <c r="H137" i="2" s="1"/>
  <c r="H127" i="2" a="1"/>
  <c r="H127" i="2" s="1"/>
  <c r="H125" i="2" a="1"/>
  <c r="H125" i="2" s="1"/>
  <c r="H136" i="2" a="1"/>
  <c r="H136" i="2" s="1"/>
  <c r="H130" i="2" a="1"/>
  <c r="H130" i="2" s="1"/>
  <c r="H140" i="2" a="1"/>
  <c r="H140" i="2" s="1"/>
  <c r="H132" i="2" a="1"/>
  <c r="H132" i="2" s="1"/>
  <c r="H135" i="2" a="1"/>
  <c r="H135" i="2" s="1"/>
  <c r="H124" i="2" a="1"/>
  <c r="H124" i="2" s="1"/>
  <c r="H139" i="2" a="1"/>
  <c r="H139" i="2" s="1"/>
  <c r="H129" i="2" a="1"/>
  <c r="H129" i="2" s="1"/>
  <c r="H122" i="2" a="1"/>
  <c r="H122" i="2" s="1"/>
  <c r="H128" i="2" a="1"/>
  <c r="H128" i="2" s="1"/>
  <c r="H123" i="2" a="1"/>
  <c r="H123" i="2" s="1"/>
  <c r="H121" i="2" a="1"/>
  <c r="H121" i="2" s="1"/>
  <c r="H120" i="2" a="1"/>
  <c r="H120" i="2" s="1"/>
  <c r="H119" i="2" a="1"/>
  <c r="H119" i="2" s="1"/>
  <c r="H118" i="2" a="1"/>
  <c r="H118" i="2" s="1"/>
  <c r="H117" i="2" a="1"/>
  <c r="H117" i="2" s="1"/>
  <c r="H116" i="2" a="1"/>
  <c r="H116" i="2" s="1"/>
  <c r="H115" i="2" a="1"/>
  <c r="H115" i="2" s="1"/>
  <c r="H109" i="2" a="1"/>
  <c r="H109" i="2" s="1"/>
  <c r="H111" i="2" a="1"/>
  <c r="H111" i="2" s="1"/>
  <c r="H108" i="2" a="1"/>
  <c r="H108" i="2" s="1"/>
  <c r="H114" i="2" a="1"/>
  <c r="H114" i="2" s="1"/>
  <c r="H110" i="2" a="1"/>
  <c r="H110" i="2" s="1"/>
  <c r="H113" i="2" a="1"/>
  <c r="H113" i="2" s="1"/>
  <c r="H106" i="2" a="1"/>
  <c r="H106" i="2" s="1"/>
  <c r="H107" i="2" a="1"/>
  <c r="H107" i="2" s="1"/>
  <c r="H112" i="2" a="1"/>
  <c r="H112" i="2" s="1"/>
  <c r="H82" i="2" a="1"/>
  <c r="H82" i="2" s="1"/>
  <c r="H36" i="2" a="1"/>
  <c r="H36" i="2" s="1"/>
  <c r="H43" i="2" a="1"/>
  <c r="H43" i="2" s="1"/>
  <c r="H47" i="2" a="1"/>
  <c r="H47" i="2" s="1"/>
  <c r="H105" i="2" a="1"/>
  <c r="H105" i="2" s="1"/>
  <c r="H69" i="2" a="1"/>
  <c r="H69" i="2" s="1"/>
  <c r="H58" i="2" a="1"/>
  <c r="H58" i="2" s="1"/>
  <c r="H70" i="2" a="1"/>
  <c r="H70" i="2" s="1"/>
  <c r="H54" i="2" a="1"/>
  <c r="H54" i="2" s="1"/>
  <c r="H71" i="2" a="1"/>
  <c r="H71" i="2" s="1"/>
  <c r="H61" i="2" a="1"/>
  <c r="H61" i="2" s="1"/>
  <c r="H31" i="2" a="1"/>
  <c r="H31" i="2" s="1"/>
  <c r="H38" i="2" a="1"/>
  <c r="H38" i="2" s="1"/>
  <c r="H24" i="2" a="1"/>
  <c r="H24" i="2" s="1"/>
  <c r="H62" i="2" a="1"/>
  <c r="H62" i="2" s="1"/>
  <c r="H51" i="2" a="1"/>
  <c r="H51" i="2" s="1"/>
  <c r="H55" i="2" a="1"/>
  <c r="H55" i="2" s="1"/>
  <c r="H59" i="2" a="1"/>
  <c r="H59" i="2" s="1"/>
  <c r="H63" i="2" a="1"/>
  <c r="H63" i="2" s="1"/>
  <c r="H23" i="2" a="1"/>
  <c r="H23" i="2" s="1"/>
  <c r="H52" i="2" a="1"/>
  <c r="H52" i="2" s="1"/>
  <c r="H56" i="2" a="1"/>
  <c r="H56" i="2" s="1"/>
  <c r="H60" i="2" a="1"/>
  <c r="H60" i="2" s="1"/>
  <c r="E22" i="5"/>
  <c r="E23" i="5" s="1" a="1"/>
  <c r="E23" i="5" s="1"/>
  <c r="E24" i="5" s="1"/>
  <c r="G55" i="5"/>
  <c r="J55" i="5" a="1"/>
  <c r="J55" i="5" s="1"/>
  <c r="F57" i="5"/>
  <c r="F56" i="5"/>
  <c r="D99" i="5"/>
  <c r="D95" i="5"/>
  <c r="D91" i="5"/>
  <c r="D87" i="5"/>
  <c r="D83" i="5"/>
  <c r="D79" i="5"/>
  <c r="D75" i="5"/>
  <c r="D71" i="5"/>
  <c r="D67" i="5"/>
  <c r="D63" i="5"/>
  <c r="D59" i="5"/>
  <c r="AP33" i="4"/>
  <c r="AQ33" i="4"/>
  <c r="E13" i="4" a="1"/>
  <c r="E13" i="4" s="1"/>
  <c r="H13" i="4"/>
  <c r="E10" i="5"/>
  <c r="E21" i="5"/>
  <c r="Y11" i="4" s="1"/>
  <c r="C14" i="4" a="1"/>
  <c r="C14" i="4" s="1"/>
  <c r="J13" i="4" a="1"/>
  <c r="J13" i="4" s="1"/>
  <c r="BY33" i="3"/>
  <c r="CF46" i="3"/>
  <c r="CG20" i="3"/>
  <c r="CC20" i="3"/>
  <c r="BY20" i="3"/>
  <c r="CF33" i="3"/>
  <c r="CB33" i="3"/>
  <c r="BX33" i="3"/>
  <c r="CG33" i="3"/>
  <c r="BX46" i="3"/>
  <c r="CI46" i="3"/>
  <c r="BX20" i="3"/>
  <c r="BW46" i="3"/>
  <c r="CF20" i="3"/>
  <c r="CB20" i="3"/>
  <c r="CI33" i="3"/>
  <c r="CE33" i="3"/>
  <c r="CA33" i="3"/>
  <c r="BW33" i="3"/>
  <c r="CA46" i="3"/>
  <c r="CD46" i="3"/>
  <c r="BZ46" i="3"/>
  <c r="CI20" i="3"/>
  <c r="CE20" i="3"/>
  <c r="CA20" i="3"/>
  <c r="BW20" i="3"/>
  <c r="CC33" i="3"/>
  <c r="CE46" i="3"/>
  <c r="CH46" i="3"/>
  <c r="CH33" i="3"/>
  <c r="CD33" i="3"/>
  <c r="BZ33" i="3"/>
  <c r="CB46" i="3"/>
  <c r="CG46" i="3"/>
  <c r="CC46" i="3"/>
  <c r="BY46" i="3"/>
  <c r="CH20" i="3"/>
  <c r="CD20" i="3"/>
  <c r="BZ20" i="3"/>
  <c r="BO33" i="3"/>
  <c r="BO20" i="3"/>
  <c r="BN33" i="3"/>
  <c r="BU46" i="3"/>
  <c r="BM46" i="3"/>
  <c r="BI46" i="3"/>
  <c r="BR20" i="3"/>
  <c r="BN20" i="3"/>
  <c r="BJ20" i="3"/>
  <c r="BN46" i="3"/>
  <c r="BS20" i="3"/>
  <c r="BR33" i="3"/>
  <c r="BQ46" i="3"/>
  <c r="BU33" i="3"/>
  <c r="BQ33" i="3"/>
  <c r="BM33" i="3"/>
  <c r="BI33" i="3"/>
  <c r="BS33" i="3"/>
  <c r="BJ46" i="3"/>
  <c r="BK20" i="3"/>
  <c r="BJ33" i="3"/>
  <c r="BT46" i="3"/>
  <c r="BP46" i="3"/>
  <c r="BL46" i="3"/>
  <c r="BU20" i="3"/>
  <c r="BQ20" i="3"/>
  <c r="BM20" i="3"/>
  <c r="BI20" i="3"/>
  <c r="BK33" i="3"/>
  <c r="BR46" i="3"/>
  <c r="BL33" i="3"/>
  <c r="BT33" i="3"/>
  <c r="BP33" i="3"/>
  <c r="BS46" i="3"/>
  <c r="BO46" i="3"/>
  <c r="BK46" i="3"/>
  <c r="BT20" i="3"/>
  <c r="BP20" i="3"/>
  <c r="BL20" i="3"/>
  <c r="AS10" i="3"/>
  <c r="BG10" i="3"/>
  <c r="AS11" i="3"/>
  <c r="BG11" i="3"/>
  <c r="AS12" i="3"/>
  <c r="BG12" i="3"/>
  <c r="AS13" i="3"/>
  <c r="BG13" i="3"/>
  <c r="AS14" i="3"/>
  <c r="BG14" i="3"/>
  <c r="AS15" i="3"/>
  <c r="BG15" i="3"/>
  <c r="AS16" i="3"/>
  <c r="BG16" i="3"/>
  <c r="AS17" i="3"/>
  <c r="BG17" i="3"/>
  <c r="AS18" i="3"/>
  <c r="BG18" i="3"/>
  <c r="AS19" i="3"/>
  <c r="BG19" i="3"/>
  <c r="AS23" i="3"/>
  <c r="BG23" i="3"/>
  <c r="AS24" i="3"/>
  <c r="BG24" i="3"/>
  <c r="AS25" i="3"/>
  <c r="BG25" i="3"/>
  <c r="AS26" i="3"/>
  <c r="BG26" i="3"/>
  <c r="AS27" i="3"/>
  <c r="BG27" i="3"/>
  <c r="AS28" i="3"/>
  <c r="BG28" i="3"/>
  <c r="AS29" i="3"/>
  <c r="BG29" i="3"/>
  <c r="AS30" i="3"/>
  <c r="BG30" i="3"/>
  <c r="AS31" i="3"/>
  <c r="BG31" i="3"/>
  <c r="AS32" i="3"/>
  <c r="BG32" i="3"/>
  <c r="AS36" i="3"/>
  <c r="BG36" i="3"/>
  <c r="AS37" i="3"/>
  <c r="BG37" i="3"/>
  <c r="AS38" i="3"/>
  <c r="BG38" i="3"/>
  <c r="AS39" i="3"/>
  <c r="BG39" i="3"/>
  <c r="AS40" i="3"/>
  <c r="BG40" i="3"/>
  <c r="AS41" i="3"/>
  <c r="BG41" i="3"/>
  <c r="AS42" i="3"/>
  <c r="BG42" i="3"/>
  <c r="AS43" i="3"/>
  <c r="BG43" i="3"/>
  <c r="AS44" i="3"/>
  <c r="BG44" i="3"/>
  <c r="AS45" i="3"/>
  <c r="BG45" i="3"/>
  <c r="AE10" i="3"/>
  <c r="AE11" i="3"/>
  <c r="AE12" i="3"/>
  <c r="AE13" i="3"/>
  <c r="AE14" i="3"/>
  <c r="AE15" i="3"/>
  <c r="AE16" i="3"/>
  <c r="AE17" i="3"/>
  <c r="AE18" i="3"/>
  <c r="AE19" i="3"/>
  <c r="AE23" i="3"/>
  <c r="AE24" i="3"/>
  <c r="AE25" i="3"/>
  <c r="AE26" i="3"/>
  <c r="AE27" i="3"/>
  <c r="AE28" i="3"/>
  <c r="AE29" i="3"/>
  <c r="AE30" i="3"/>
  <c r="AE31" i="3"/>
  <c r="AE32" i="3"/>
  <c r="AE36" i="3"/>
  <c r="AE37" i="3"/>
  <c r="AE38" i="3"/>
  <c r="AE39" i="3"/>
  <c r="AE40" i="3"/>
  <c r="AE41" i="3"/>
  <c r="AE42" i="3"/>
  <c r="AE43" i="3"/>
  <c r="AE44" i="3"/>
  <c r="AE45" i="3"/>
  <c r="Q45" i="3"/>
  <c r="Q44" i="3"/>
  <c r="Q43" i="3"/>
  <c r="Q42" i="3"/>
  <c r="Q41" i="3"/>
  <c r="Q40" i="3"/>
  <c r="Q39" i="3"/>
  <c r="Q38" i="3"/>
  <c r="Q36" i="3"/>
  <c r="Q23" i="3"/>
  <c r="Q32" i="3"/>
  <c r="Q31" i="3"/>
  <c r="Q30" i="3"/>
  <c r="Q29" i="3"/>
  <c r="Q28" i="3"/>
  <c r="Q27" i="3"/>
  <c r="Q26" i="3"/>
  <c r="Q25" i="3"/>
  <c r="Q24" i="3"/>
  <c r="Q11" i="3"/>
  <c r="Q12" i="3"/>
  <c r="Q13" i="3"/>
  <c r="Q14" i="3"/>
  <c r="Q15" i="3"/>
  <c r="Q16" i="3"/>
  <c r="Q17" i="3"/>
  <c r="Q18" i="3"/>
  <c r="Q19" i="3"/>
  <c r="Q10" i="3"/>
  <c r="E5" i="3"/>
  <c r="J9" i="3" s="1"/>
  <c r="H46" i="3" a="1"/>
  <c r="L20" i="3" a="1"/>
  <c r="G33" i="3" a="1"/>
  <c r="T33" i="3" a="1"/>
  <c r="N46" i="3" a="1"/>
  <c r="K20" i="3" a="1"/>
  <c r="AZ46" i="3" a="1"/>
  <c r="L33" i="3" a="1"/>
  <c r="N20" i="3" a="1"/>
  <c r="U20" i="3" a="1"/>
  <c r="W46" i="3" a="1"/>
  <c r="AE20" i="3" a="1"/>
  <c r="AV33" i="3" a="1"/>
  <c r="I20" i="3" a="1"/>
  <c r="W20" i="3" a="1"/>
  <c r="AN33" i="3" a="1"/>
  <c r="W33" i="3" a="1"/>
  <c r="T20" i="3" a="1"/>
  <c r="F46" i="3" a="1"/>
  <c r="X46" i="3" a="1"/>
  <c r="AP46" i="3" a="1"/>
  <c r="BF33" i="3" a="1"/>
  <c r="I33" i="3" a="1"/>
  <c r="BA20" i="3" a="1"/>
  <c r="Z20" i="3" a="1"/>
  <c r="F33" i="3" a="1"/>
  <c r="M33" i="3" a="1"/>
  <c r="Q33" i="3" a="1"/>
  <c r="AG33" i="3" a="1"/>
  <c r="AH20" i="3" a="1"/>
  <c r="F20" i="3" a="1"/>
  <c r="AL20" i="3" a="1"/>
  <c r="AW20" i="3" a="1"/>
  <c r="H33" i="3" a="1"/>
  <c r="AL33" i="3" a="1"/>
  <c r="BG20" i="3" a="1"/>
  <c r="AI46" i="3" a="1"/>
  <c r="BB33" i="3" a="1"/>
  <c r="AB46" i="3" a="1"/>
  <c r="AU20" i="3" a="1"/>
  <c r="L46" i="3" a="1"/>
  <c r="E20" i="3" a="1"/>
  <c r="AD46" i="3" a="1"/>
  <c r="I46" i="3" a="1"/>
  <c r="N33" i="3" a="1"/>
  <c r="AW33" i="3" a="1"/>
  <c r="AU33" i="3" a="1"/>
  <c r="AY46" i="3" a="1"/>
  <c r="AX46" i="3" a="1"/>
  <c r="V20" i="3" a="1"/>
  <c r="U46" i="3" a="1"/>
  <c r="BD20" i="3" a="1"/>
  <c r="AB20" i="3" a="1"/>
  <c r="Y33" i="3" a="1"/>
  <c r="E33" i="3" a="1"/>
  <c r="M46" i="3" a="1"/>
  <c r="Z33" i="3" a="1"/>
  <c r="AV20" i="3" a="1"/>
  <c r="O46" i="3" a="1"/>
  <c r="AG20" i="3" a="1"/>
  <c r="BF20" i="3" a="1"/>
  <c r="K33" i="3" a="1"/>
  <c r="AC33" i="3" a="1"/>
  <c r="AH46" i="3" a="1"/>
  <c r="BC20" i="3" a="1"/>
  <c r="AK46" i="3" a="1"/>
  <c r="AO33" i="3" a="1"/>
  <c r="X20" i="3" a="1"/>
  <c r="Y20" i="3" a="1"/>
  <c r="AN20" i="3" a="1"/>
  <c r="U33" i="3" a="1"/>
  <c r="AR33" i="3" a="1"/>
  <c r="AB33" i="3" a="1"/>
  <c r="AJ33" i="3" a="1"/>
  <c r="AM46" i="3" a="1"/>
  <c r="J33" i="3" a="1"/>
  <c r="AS20" i="3" a="1"/>
  <c r="AP33" i="3" a="1"/>
  <c r="AO20" i="3" a="1"/>
  <c r="S46" i="3" a="1"/>
  <c r="BG46" i="3" a="1"/>
  <c r="H20" i="3" a="1"/>
  <c r="AY33" i="3" a="1"/>
  <c r="AQ46" i="3" a="1"/>
  <c r="AA46" i="3" a="1"/>
  <c r="AA20" i="3" a="1"/>
  <c r="P33" i="3" a="1"/>
  <c r="O33" i="3" a="1"/>
  <c r="BF46" i="3" a="1"/>
  <c r="S33" i="3" a="1"/>
  <c r="V33" i="3" a="1"/>
  <c r="BG33" i="3" a="1"/>
  <c r="BC33" i="3" a="1"/>
  <c r="BA46" i="3" a="1"/>
  <c r="AP20" i="3" a="1"/>
  <c r="AC20" i="3" a="1"/>
  <c r="AK20" i="3" a="1"/>
  <c r="BD33" i="3" a="1"/>
  <c r="AL46" i="3" a="1"/>
  <c r="AV46" i="3" a="1"/>
  <c r="G20" i="3" a="1"/>
  <c r="E46" i="3" a="1"/>
  <c r="AA33" i="3" a="1"/>
  <c r="AO46" i="3" a="1"/>
  <c r="AY20" i="3" a="1"/>
  <c r="AN46" i="3" a="1"/>
  <c r="BB46" i="3" a="1"/>
  <c r="O20" i="3" a="1"/>
  <c r="AX33" i="3" a="1"/>
  <c r="S20" i="3" a="1"/>
  <c r="AS33" i="3" a="1"/>
  <c r="BE33" i="3" a="1"/>
  <c r="AW46" i="3" a="1"/>
  <c r="AZ33" i="3" a="1"/>
  <c r="AR20" i="3" a="1"/>
  <c r="AI20" i="3" a="1"/>
  <c r="AI33" i="3" a="1"/>
  <c r="AM33" i="3" a="1"/>
  <c r="AK33" i="3" a="1"/>
  <c r="AZ20" i="3" a="1"/>
  <c r="Y46" i="3" a="1"/>
  <c r="AD20" i="3" a="1"/>
  <c r="P46" i="3" a="1"/>
  <c r="J20" i="3" a="1"/>
  <c r="AD33" i="3" a="1"/>
  <c r="V46" i="3" a="1"/>
  <c r="BB20" i="3" a="1"/>
  <c r="AQ20" i="3" a="1"/>
  <c r="BA33" i="3" a="1"/>
  <c r="BE20" i="3" a="1"/>
  <c r="AU46" i="3" a="1"/>
  <c r="J46" i="3" a="1"/>
  <c r="AX20" i="3" a="1"/>
  <c r="Z46" i="3" a="1"/>
  <c r="BE46" i="3" a="1"/>
  <c r="AC46" i="3" a="1"/>
  <c r="P20" i="3" a="1"/>
  <c r="AH33" i="3" a="1"/>
  <c r="Q20" i="3" a="1"/>
  <c r="AR46" i="3" a="1"/>
  <c r="X33" i="3" a="1"/>
  <c r="AG46" i="3" a="1"/>
  <c r="AQ33" i="3" a="1"/>
  <c r="BD46" i="3" a="1"/>
  <c r="BC46" i="3" a="1"/>
  <c r="AE33" i="3" a="1"/>
  <c r="AJ20" i="3" a="1"/>
  <c r="M20" i="3" a="1"/>
  <c r="AJ46" i="3" a="1"/>
  <c r="AE46" i="3" a="1"/>
  <c r="AM20" i="3" a="1"/>
  <c r="G46" i="3" a="1"/>
  <c r="AS46" i="3" a="1"/>
  <c r="T46" i="3" a="1"/>
  <c r="G56" i="5" l="1"/>
  <c r="J56" i="5" a="1"/>
  <c r="J56" i="5" s="1"/>
  <c r="G57" i="5"/>
  <c r="J57" i="5" a="1"/>
  <c r="J57" i="5" s="1"/>
  <c r="F72" i="5"/>
  <c r="F73" i="5"/>
  <c r="F71" i="5"/>
  <c r="F75" i="5"/>
  <c r="F76" i="5"/>
  <c r="F77" i="5"/>
  <c r="F81" i="5"/>
  <c r="F79" i="5"/>
  <c r="F80" i="5"/>
  <c r="F87" i="5"/>
  <c r="F88" i="5"/>
  <c r="F89" i="5"/>
  <c r="F83" i="5"/>
  <c r="F84" i="5"/>
  <c r="F85" i="5"/>
  <c r="F61" i="5"/>
  <c r="F60" i="5"/>
  <c r="F59" i="5"/>
  <c r="F93" i="5"/>
  <c r="F91" i="5"/>
  <c r="F92" i="5"/>
  <c r="F63" i="5"/>
  <c r="F64" i="5"/>
  <c r="F65" i="5"/>
  <c r="F95" i="5"/>
  <c r="F96" i="5"/>
  <c r="F97" i="5"/>
  <c r="F67" i="5"/>
  <c r="F69" i="5"/>
  <c r="F68" i="5"/>
  <c r="F99" i="5"/>
  <c r="F101" i="5"/>
  <c r="F100" i="5"/>
  <c r="AD13" i="4"/>
  <c r="AC13" i="4"/>
  <c r="AB13" i="4"/>
  <c r="AA13" i="4"/>
  <c r="Z13" i="4"/>
  <c r="L13" i="4" a="1"/>
  <c r="L13" i="4" s="1"/>
  <c r="K13" i="4" a="1"/>
  <c r="K13" i="4" s="1"/>
  <c r="AF11" i="4"/>
  <c r="D13" i="4"/>
  <c r="I13" i="4" s="1" a="1"/>
  <c r="I13" i="4" s="1"/>
  <c r="F13" i="4"/>
  <c r="C15" i="4" a="1"/>
  <c r="C15" i="4" s="1"/>
  <c r="J15" i="4" s="1" a="1"/>
  <c r="J15" i="4" s="1"/>
  <c r="G14" i="4" a="1"/>
  <c r="G14" i="4" s="1"/>
  <c r="E14" i="4" a="1"/>
  <c r="E14" i="4" s="1"/>
  <c r="H14" i="4"/>
  <c r="J14" i="4" a="1"/>
  <c r="J14" i="4" s="1"/>
  <c r="S5" i="3"/>
  <c r="U35" i="3" s="1"/>
  <c r="I35" i="3"/>
  <c r="K35" i="3"/>
  <c r="J35" i="3"/>
  <c r="L35" i="3"/>
  <c r="Q35" i="3"/>
  <c r="E35" i="3"/>
  <c r="M35" i="3"/>
  <c r="F35" i="3"/>
  <c r="N35" i="3"/>
  <c r="G35" i="3"/>
  <c r="O35" i="3"/>
  <c r="H35" i="3"/>
  <c r="P35" i="3"/>
  <c r="CH7" i="3"/>
  <c r="CH6" i="3" s="1"/>
  <c r="CC7" i="3"/>
  <c r="CC6" i="3" s="1"/>
  <c r="BW7" i="3"/>
  <c r="BW6" i="3" s="1"/>
  <c r="CI7" i="3"/>
  <c r="CI6" i="3" s="1"/>
  <c r="CB7" i="3"/>
  <c r="CB6" i="3" s="1"/>
  <c r="BN7" i="3"/>
  <c r="BN6" i="3" s="1"/>
  <c r="CD7" i="3"/>
  <c r="CD6" i="3" s="1"/>
  <c r="CF7" i="3"/>
  <c r="CF6" i="3" s="1"/>
  <c r="BY7" i="3"/>
  <c r="BY6" i="3" s="1"/>
  <c r="CE7" i="3"/>
  <c r="CE6" i="3" s="1"/>
  <c r="BX7" i="3"/>
  <c r="BX6" i="3" s="1"/>
  <c r="CA7" i="3"/>
  <c r="CA6" i="3" s="1"/>
  <c r="BZ7" i="3"/>
  <c r="BZ6" i="3" s="1"/>
  <c r="CG7" i="3"/>
  <c r="CG6" i="3" s="1"/>
  <c r="BI7" i="3"/>
  <c r="BI6" i="3" s="1"/>
  <c r="BT7" i="3"/>
  <c r="BT6" i="3" s="1"/>
  <c r="BS7" i="3"/>
  <c r="BS6" i="3" s="1"/>
  <c r="BU7" i="3"/>
  <c r="BU6" i="3" s="1"/>
  <c r="BJ7" i="3"/>
  <c r="BJ6" i="3" s="1"/>
  <c r="BL7" i="3"/>
  <c r="BL6" i="3" s="1"/>
  <c r="BR7" i="3"/>
  <c r="BR6" i="3" s="1"/>
  <c r="BP7" i="3"/>
  <c r="BP6" i="3" s="1"/>
  <c r="BK7" i="3"/>
  <c r="BK6" i="3" s="1"/>
  <c r="BM7" i="3"/>
  <c r="BM6" i="3" s="1"/>
  <c r="BQ7" i="3"/>
  <c r="BQ6" i="3" s="1"/>
  <c r="BO7" i="3"/>
  <c r="BO6" i="3" s="1"/>
  <c r="AS46" i="3"/>
  <c r="BG33" i="3"/>
  <c r="AL33" i="3"/>
  <c r="AZ20" i="3"/>
  <c r="BA46" i="3"/>
  <c r="AR46" i="3"/>
  <c r="AN46" i="3"/>
  <c r="AJ46" i="3"/>
  <c r="BB33" i="3"/>
  <c r="AX33" i="3"/>
  <c r="AS33" i="3"/>
  <c r="AO33" i="3"/>
  <c r="AK33" i="3"/>
  <c r="AG33" i="3"/>
  <c r="BG20" i="3"/>
  <c r="BC20" i="3"/>
  <c r="AY20" i="3"/>
  <c r="AU20" i="3"/>
  <c r="AP20" i="3"/>
  <c r="AL20" i="3"/>
  <c r="AH20" i="3"/>
  <c r="AO46" i="3"/>
  <c r="BC33" i="3"/>
  <c r="AH33" i="3"/>
  <c r="AV20" i="3"/>
  <c r="BE46" i="3"/>
  <c r="AW46" i="3"/>
  <c r="BF33" i="3"/>
  <c r="BB46" i="3"/>
  <c r="AG46" i="3"/>
  <c r="AP33" i="3"/>
  <c r="AM20" i="3"/>
  <c r="AI46" i="3"/>
  <c r="BD46" i="3"/>
  <c r="AZ46" i="3"/>
  <c r="AV46" i="3"/>
  <c r="AQ46" i="3"/>
  <c r="AM46" i="3"/>
  <c r="BE33" i="3"/>
  <c r="BA33" i="3"/>
  <c r="AW33" i="3"/>
  <c r="AR33" i="3"/>
  <c r="AN33" i="3"/>
  <c r="AJ33" i="3"/>
  <c r="BF20" i="3"/>
  <c r="BB20" i="3"/>
  <c r="AX20" i="3"/>
  <c r="AS20" i="3"/>
  <c r="AO20" i="3"/>
  <c r="AK20" i="3"/>
  <c r="AG20" i="3"/>
  <c r="BF46" i="3"/>
  <c r="AK46" i="3"/>
  <c r="AU33" i="3"/>
  <c r="BD20" i="3"/>
  <c r="AI20" i="3"/>
  <c r="BG46" i="3"/>
  <c r="BC46" i="3"/>
  <c r="AY46" i="3"/>
  <c r="AU46" i="3"/>
  <c r="AP46" i="3"/>
  <c r="AL46" i="3"/>
  <c r="AH46" i="3"/>
  <c r="BD33" i="3"/>
  <c r="AZ33" i="3"/>
  <c r="AV33" i="3"/>
  <c r="AQ33" i="3"/>
  <c r="AM33" i="3"/>
  <c r="AI33" i="3"/>
  <c r="BE20" i="3"/>
  <c r="BA20" i="3"/>
  <c r="AW20" i="3"/>
  <c r="AR20" i="3"/>
  <c r="AN20" i="3"/>
  <c r="AJ20" i="3"/>
  <c r="AX46" i="3"/>
  <c r="AY33" i="3"/>
  <c r="AQ20" i="3"/>
  <c r="Y33" i="3"/>
  <c r="AB46" i="3"/>
  <c r="T46" i="3"/>
  <c r="AC20" i="3"/>
  <c r="Y20" i="3"/>
  <c r="U20" i="3"/>
  <c r="U46" i="3"/>
  <c r="AC33" i="3"/>
  <c r="U33" i="3"/>
  <c r="X46" i="3"/>
  <c r="AB33" i="3"/>
  <c r="X33" i="3"/>
  <c r="T33" i="3"/>
  <c r="AC46" i="3"/>
  <c r="Z20" i="3"/>
  <c r="AE46" i="3"/>
  <c r="W46" i="3"/>
  <c r="T20" i="3"/>
  <c r="AE33" i="3"/>
  <c r="AA33" i="3"/>
  <c r="W33" i="3"/>
  <c r="S33" i="3"/>
  <c r="V20" i="3"/>
  <c r="S46" i="3"/>
  <c r="AB20" i="3"/>
  <c r="AD46" i="3"/>
  <c r="V46" i="3"/>
  <c r="AE20" i="3"/>
  <c r="AA20" i="3"/>
  <c r="W20" i="3"/>
  <c r="S20" i="3"/>
  <c r="Y46" i="3"/>
  <c r="AD20" i="3"/>
  <c r="AA46" i="3"/>
  <c r="X20" i="3"/>
  <c r="Z46" i="3"/>
  <c r="AD33" i="3"/>
  <c r="Z33" i="3"/>
  <c r="V33" i="3"/>
  <c r="E46" i="3"/>
  <c r="F46" i="3"/>
  <c r="M46" i="3"/>
  <c r="I46" i="3"/>
  <c r="N46" i="3"/>
  <c r="P46" i="3"/>
  <c r="L46" i="3"/>
  <c r="H46" i="3"/>
  <c r="J46" i="3"/>
  <c r="O46" i="3"/>
  <c r="G46" i="3"/>
  <c r="N33" i="3"/>
  <c r="J33" i="3"/>
  <c r="F33" i="3"/>
  <c r="Q33" i="3"/>
  <c r="M33" i="3"/>
  <c r="I33" i="3"/>
  <c r="H33" i="3"/>
  <c r="P33" i="3"/>
  <c r="L33" i="3"/>
  <c r="O33" i="3"/>
  <c r="K33" i="3"/>
  <c r="G33" i="3"/>
  <c r="E33" i="3"/>
  <c r="L22" i="3"/>
  <c r="F22" i="3"/>
  <c r="N22" i="3"/>
  <c r="E22" i="3"/>
  <c r="G22" i="3"/>
  <c r="O22" i="3"/>
  <c r="H22" i="3"/>
  <c r="P22" i="3"/>
  <c r="M22" i="3"/>
  <c r="I22" i="3"/>
  <c r="Q22" i="3"/>
  <c r="J22" i="3"/>
  <c r="K22" i="3"/>
  <c r="F20" i="3"/>
  <c r="M20" i="3"/>
  <c r="I20" i="3"/>
  <c r="N20" i="3"/>
  <c r="Q20" i="3"/>
  <c r="H20" i="3"/>
  <c r="J20" i="3"/>
  <c r="P20" i="3"/>
  <c r="L20" i="3"/>
  <c r="O20" i="3"/>
  <c r="K20" i="3"/>
  <c r="G20" i="3"/>
  <c r="E20" i="3"/>
  <c r="K9" i="3"/>
  <c r="M9" i="3"/>
  <c r="N9" i="3"/>
  <c r="L9" i="3"/>
  <c r="H9" i="3"/>
  <c r="O9" i="3"/>
  <c r="E9" i="3"/>
  <c r="F9" i="3"/>
  <c r="P9" i="3"/>
  <c r="G9" i="3"/>
  <c r="I9" i="3"/>
  <c r="Q9" i="3"/>
  <c r="J76" i="5" l="1" a="1"/>
  <c r="J76" i="5" s="1"/>
  <c r="J69" i="5" a="1"/>
  <c r="J69" i="5" s="1"/>
  <c r="J92" i="5" a="1"/>
  <c r="J92" i="5" s="1"/>
  <c r="J83" i="5" a="1"/>
  <c r="J83" i="5" s="1"/>
  <c r="J67" i="5" a="1"/>
  <c r="J67" i="5" s="1"/>
  <c r="J91" i="5" a="1"/>
  <c r="J91" i="5" s="1"/>
  <c r="J89" i="5" a="1"/>
  <c r="J89" i="5" s="1"/>
  <c r="J75" i="5" a="1"/>
  <c r="J75" i="5" s="1"/>
  <c r="J97" i="5" a="1"/>
  <c r="J97" i="5" s="1"/>
  <c r="J93" i="5" a="1"/>
  <c r="J93" i="5" s="1"/>
  <c r="J88" i="5" a="1"/>
  <c r="J88" i="5" s="1"/>
  <c r="J71" i="5" a="1"/>
  <c r="J71" i="5" s="1"/>
  <c r="J96" i="5" a="1"/>
  <c r="J96" i="5" s="1"/>
  <c r="J59" i="5" a="1"/>
  <c r="J59" i="5" s="1"/>
  <c r="J87" i="5" a="1"/>
  <c r="J87" i="5" s="1"/>
  <c r="J73" i="5" a="1"/>
  <c r="J73" i="5" s="1"/>
  <c r="J100" i="5" a="1"/>
  <c r="J100" i="5" s="1"/>
  <c r="J95" i="5" a="1"/>
  <c r="J95" i="5" s="1"/>
  <c r="J60" i="5" a="1"/>
  <c r="J60" i="5" s="1"/>
  <c r="J80" i="5" a="1"/>
  <c r="J80" i="5" s="1"/>
  <c r="J72" i="5" a="1"/>
  <c r="J72" i="5" s="1"/>
  <c r="J101" i="5" a="1"/>
  <c r="J101" i="5" s="1"/>
  <c r="J65" i="5" a="1"/>
  <c r="J65" i="5" s="1"/>
  <c r="J61" i="5" a="1"/>
  <c r="J61" i="5" s="1"/>
  <c r="J79" i="5" a="1"/>
  <c r="J79" i="5" s="1"/>
  <c r="J99" i="5" a="1"/>
  <c r="J99" i="5" s="1"/>
  <c r="J64" i="5" a="1"/>
  <c r="J64" i="5" s="1"/>
  <c r="J85" i="5" a="1"/>
  <c r="J85" i="5" s="1"/>
  <c r="J81" i="5" a="1"/>
  <c r="J81" i="5" s="1"/>
  <c r="J68" i="5" a="1"/>
  <c r="J68" i="5" s="1"/>
  <c r="J63" i="5" a="1"/>
  <c r="J63" i="5" s="1"/>
  <c r="J84" i="5" a="1"/>
  <c r="J84" i="5" s="1"/>
  <c r="J77" i="5" a="1"/>
  <c r="J77" i="5" s="1"/>
  <c r="K56" i="5" a="1"/>
  <c r="K56" i="5" s="1"/>
  <c r="L56" i="5" s="1"/>
  <c r="N56" i="5" s="1"/>
  <c r="K55" i="5" a="1"/>
  <c r="K55" i="5" s="1"/>
  <c r="P55" i="5" s="1"/>
  <c r="G99" i="5"/>
  <c r="G85" i="5"/>
  <c r="G68" i="5"/>
  <c r="G63" i="5"/>
  <c r="G84" i="5"/>
  <c r="G77" i="5"/>
  <c r="G69" i="5"/>
  <c r="G92" i="5"/>
  <c r="G83" i="5"/>
  <c r="G76" i="5"/>
  <c r="G95" i="5"/>
  <c r="G80" i="5"/>
  <c r="G65" i="5"/>
  <c r="G61" i="5"/>
  <c r="G64" i="5"/>
  <c r="G67" i="5"/>
  <c r="G89" i="5"/>
  <c r="G97" i="5"/>
  <c r="G93" i="5"/>
  <c r="G88" i="5"/>
  <c r="G71" i="5"/>
  <c r="G100" i="5"/>
  <c r="G60" i="5"/>
  <c r="G101" i="5"/>
  <c r="G79" i="5"/>
  <c r="G81" i="5"/>
  <c r="G91" i="5"/>
  <c r="G75" i="5"/>
  <c r="G96" i="5"/>
  <c r="G59" i="5"/>
  <c r="G87" i="5"/>
  <c r="G73" i="5"/>
  <c r="G72" i="5"/>
  <c r="U13" i="4"/>
  <c r="X13" i="4"/>
  <c r="W13" i="4"/>
  <c r="V13" i="4"/>
  <c r="P13" i="4"/>
  <c r="M13" i="4" a="1"/>
  <c r="M13" i="4" s="1"/>
  <c r="S13" i="4"/>
  <c r="Q13" i="4"/>
  <c r="T13" i="4"/>
  <c r="R13" i="4"/>
  <c r="O13" i="4"/>
  <c r="N13" i="4" a="1"/>
  <c r="N13" i="4" s="1"/>
  <c r="D14" i="4"/>
  <c r="F14" i="4"/>
  <c r="C16" i="4" a="1"/>
  <c r="C16" i="4" s="1"/>
  <c r="J16" i="4" s="1" a="1"/>
  <c r="J16" i="4" s="1"/>
  <c r="G15" i="4" a="1"/>
  <c r="G15" i="4" s="1"/>
  <c r="E15" i="4" a="1"/>
  <c r="E15" i="4" s="1"/>
  <c r="H15" i="4"/>
  <c r="X22" i="3"/>
  <c r="AA35" i="3"/>
  <c r="Z22" i="3"/>
  <c r="T35" i="3"/>
  <c r="W9" i="3"/>
  <c r="AE35" i="3"/>
  <c r="S22" i="3"/>
  <c r="AD22" i="3"/>
  <c r="AE9" i="3"/>
  <c r="AB9" i="3"/>
  <c r="AB35" i="3"/>
  <c r="Y22" i="3"/>
  <c r="AA22" i="3"/>
  <c r="W22" i="3"/>
  <c r="AC35" i="3"/>
  <c r="W35" i="3"/>
  <c r="X35" i="3"/>
  <c r="AD35" i="3"/>
  <c r="AE22" i="3"/>
  <c r="AD9" i="3"/>
  <c r="S9" i="3"/>
  <c r="K57" i="5" s="1" a="1"/>
  <c r="K57" i="5" s="1"/>
  <c r="P57" i="5" s="1"/>
  <c r="AC9" i="3"/>
  <c r="U22" i="3"/>
  <c r="X9" i="3"/>
  <c r="U9" i="3"/>
  <c r="L14" i="4" s="1" a="1"/>
  <c r="L14" i="4" s="1"/>
  <c r="AA9" i="3"/>
  <c r="S35" i="3"/>
  <c r="AC22" i="3"/>
  <c r="Z35" i="3"/>
  <c r="Y35" i="3"/>
  <c r="T22" i="3"/>
  <c r="V35" i="3"/>
  <c r="V22" i="3"/>
  <c r="Z9" i="3"/>
  <c r="T9" i="3"/>
  <c r="AB22" i="3"/>
  <c r="V9" i="3"/>
  <c r="Y9" i="3"/>
  <c r="AG5" i="3"/>
  <c r="AI7" i="3"/>
  <c r="AI6" i="3" s="1"/>
  <c r="AG7" i="3"/>
  <c r="AG6" i="3" s="1"/>
  <c r="AA7" i="3"/>
  <c r="AA6" i="3" s="1"/>
  <c r="AL7" i="3"/>
  <c r="AL6" i="3" s="1"/>
  <c r="AZ7" i="3"/>
  <c r="AZ6" i="3" s="1"/>
  <c r="AW7" i="3"/>
  <c r="AW6" i="3" s="1"/>
  <c r="AS7" i="3"/>
  <c r="AS6" i="3" s="1"/>
  <c r="AM7" i="3"/>
  <c r="AM6" i="3" s="1"/>
  <c r="BC7" i="3"/>
  <c r="BC6" i="3" s="1"/>
  <c r="BG7" i="3"/>
  <c r="BG6" i="3" s="1"/>
  <c r="BF7" i="3"/>
  <c r="BF6" i="3" s="1"/>
  <c r="BA7" i="3"/>
  <c r="BA6" i="3" s="1"/>
  <c r="BD7" i="3"/>
  <c r="BD6" i="3" s="1"/>
  <c r="AX7" i="3"/>
  <c r="AX6" i="3" s="1"/>
  <c r="AQ7" i="3"/>
  <c r="AQ6" i="3" s="1"/>
  <c r="BE7" i="3"/>
  <c r="BE6" i="3" s="1"/>
  <c r="BB7" i="3"/>
  <c r="BB6" i="3" s="1"/>
  <c r="AH7" i="3"/>
  <c r="AH6" i="3" s="1"/>
  <c r="AJ7" i="3"/>
  <c r="AJ6" i="3" s="1"/>
  <c r="AP7" i="3"/>
  <c r="AP6" i="3" s="1"/>
  <c r="AN7" i="3"/>
  <c r="AN6" i="3" s="1"/>
  <c r="AK7" i="3"/>
  <c r="AK6" i="3" s="1"/>
  <c r="AU7" i="3"/>
  <c r="AU6" i="3" s="1"/>
  <c r="AR7" i="3"/>
  <c r="AR6" i="3" s="1"/>
  <c r="AO7" i="3"/>
  <c r="AO6" i="3" s="1"/>
  <c r="AV7" i="3"/>
  <c r="AV6" i="3" s="1"/>
  <c r="AY7" i="3"/>
  <c r="AY6" i="3" s="1"/>
  <c r="AB7" i="3"/>
  <c r="AB6" i="3" s="1"/>
  <c r="S7" i="3"/>
  <c r="S6" i="3" s="1"/>
  <c r="V7" i="3"/>
  <c r="V6" i="3" s="1"/>
  <c r="Z7" i="3"/>
  <c r="Z6" i="3" s="1"/>
  <c r="W7" i="3"/>
  <c r="W6" i="3" s="1"/>
  <c r="U7" i="3"/>
  <c r="U6" i="3" s="1"/>
  <c r="Y7" i="3"/>
  <c r="Y6" i="3" s="1"/>
  <c r="AE7" i="3"/>
  <c r="AE6" i="3" s="1"/>
  <c r="AC7" i="3"/>
  <c r="AC6" i="3" s="1"/>
  <c r="X7" i="3"/>
  <c r="X6" i="3" s="1"/>
  <c r="T7" i="3"/>
  <c r="T6" i="3" s="1"/>
  <c r="AD7" i="3"/>
  <c r="AD6" i="3" s="1"/>
  <c r="H7" i="3"/>
  <c r="H6" i="3" s="1"/>
  <c r="L7" i="3"/>
  <c r="L6" i="3" s="1"/>
  <c r="F7" i="3"/>
  <c r="F6" i="3" s="1"/>
  <c r="N7" i="3"/>
  <c r="N6" i="3" s="1"/>
  <c r="O7" i="3"/>
  <c r="O6" i="3" s="1"/>
  <c r="M7" i="3"/>
  <c r="M6" i="3" s="1"/>
  <c r="P7" i="3"/>
  <c r="P6" i="3" s="1"/>
  <c r="J7" i="3"/>
  <c r="J6" i="3" s="1"/>
  <c r="G7" i="3"/>
  <c r="G6" i="3" s="1"/>
  <c r="I7" i="3"/>
  <c r="I6" i="3" s="1"/>
  <c r="E7" i="3"/>
  <c r="E6" i="3" s="1"/>
  <c r="K64" i="5" l="1" a="1"/>
  <c r="K64" i="5" s="1"/>
  <c r="M64" i="5" s="1"/>
  <c r="K77" i="5" a="1"/>
  <c r="K77" i="5" s="1"/>
  <c r="M77" i="5" s="1"/>
  <c r="K63" i="5" a="1"/>
  <c r="K63" i="5" s="1"/>
  <c r="L63" i="5" s="1"/>
  <c r="O63" i="5" s="1"/>
  <c r="K60" i="5" a="1"/>
  <c r="K60" i="5" s="1"/>
  <c r="L60" i="5" s="1"/>
  <c r="N60" i="5" s="1"/>
  <c r="K68" i="5" a="1"/>
  <c r="K68" i="5" s="1"/>
  <c r="P68" i="5" s="1"/>
  <c r="K65" i="5" a="1"/>
  <c r="K65" i="5" s="1"/>
  <c r="M65" i="5" s="1"/>
  <c r="K87" i="5" a="1"/>
  <c r="K87" i="5" s="1"/>
  <c r="L87" i="5" s="1"/>
  <c r="N87" i="5" s="1"/>
  <c r="K88" i="5" a="1"/>
  <c r="K88" i="5" s="1"/>
  <c r="L88" i="5" s="1"/>
  <c r="O88" i="5" s="1"/>
  <c r="K89" i="5" a="1"/>
  <c r="K89" i="5" s="1"/>
  <c r="M89" i="5" s="1"/>
  <c r="K92" i="5" a="1"/>
  <c r="K92" i="5" s="1"/>
  <c r="P92" i="5" s="1"/>
  <c r="K99" i="5" a="1"/>
  <c r="K99" i="5" s="1"/>
  <c r="M99" i="5" s="1"/>
  <c r="K101" i="5" a="1"/>
  <c r="K101" i="5" s="1"/>
  <c r="M101" i="5" s="1"/>
  <c r="K95" i="5" a="1"/>
  <c r="K95" i="5" s="1"/>
  <c r="P95" i="5" s="1"/>
  <c r="K59" i="5" a="1"/>
  <c r="K59" i="5" s="1"/>
  <c r="L59" i="5" s="1"/>
  <c r="O59" i="5" s="1"/>
  <c r="K93" i="5" a="1"/>
  <c r="K93" i="5" s="1"/>
  <c r="M93" i="5" s="1"/>
  <c r="K91" i="5" a="1"/>
  <c r="K91" i="5" s="1"/>
  <c r="M91" i="5" s="1"/>
  <c r="K69" i="5" a="1"/>
  <c r="K69" i="5" s="1"/>
  <c r="M69" i="5" s="1"/>
  <c r="K84" i="5" a="1"/>
  <c r="K84" i="5" s="1"/>
  <c r="M84" i="5" s="1"/>
  <c r="K79" i="5" a="1"/>
  <c r="K79" i="5" s="1"/>
  <c r="P79" i="5" s="1"/>
  <c r="K72" i="5" a="1"/>
  <c r="K72" i="5" s="1"/>
  <c r="P72" i="5" s="1"/>
  <c r="K100" i="5" a="1"/>
  <c r="K100" i="5" s="1"/>
  <c r="P100" i="5" s="1"/>
  <c r="K96" i="5" a="1"/>
  <c r="K96" i="5" s="1"/>
  <c r="L96" i="5" s="1"/>
  <c r="O96" i="5" s="1"/>
  <c r="K97" i="5" a="1"/>
  <c r="K97" i="5" s="1"/>
  <c r="L97" i="5" s="1"/>
  <c r="N97" i="5" s="1"/>
  <c r="K67" i="5" a="1"/>
  <c r="K67" i="5" s="1"/>
  <c r="M67" i="5" s="1"/>
  <c r="K76" i="5" a="1"/>
  <c r="K76" i="5" s="1"/>
  <c r="P76" i="5" s="1"/>
  <c r="K85" i="5" a="1"/>
  <c r="K85" i="5" s="1"/>
  <c r="M85" i="5" s="1"/>
  <c r="K61" i="5" a="1"/>
  <c r="K61" i="5" s="1"/>
  <c r="P61" i="5" s="1"/>
  <c r="K80" i="5" a="1"/>
  <c r="K80" i="5" s="1"/>
  <c r="P80" i="5" s="1"/>
  <c r="K73" i="5" a="1"/>
  <c r="K73" i="5" s="1"/>
  <c r="P73" i="5" s="1"/>
  <c r="K71" i="5" a="1"/>
  <c r="K71" i="5" s="1"/>
  <c r="M71" i="5" s="1"/>
  <c r="K75" i="5" a="1"/>
  <c r="K75" i="5" s="1"/>
  <c r="M75" i="5" s="1"/>
  <c r="K83" i="5" a="1"/>
  <c r="K83" i="5" s="1"/>
  <c r="L83" i="5" s="1"/>
  <c r="N83" i="5" s="1"/>
  <c r="Y13" i="4"/>
  <c r="L57" i="5"/>
  <c r="N57" i="5" s="1"/>
  <c r="M57" i="5"/>
  <c r="Q56" i="5"/>
  <c r="R56" i="5"/>
  <c r="P56" i="5"/>
  <c r="M55" i="5"/>
  <c r="O56" i="5"/>
  <c r="M56" i="5"/>
  <c r="L55" i="5"/>
  <c r="M14" i="4" a="1"/>
  <c r="M14" i="4" s="1"/>
  <c r="L15" i="4" a="1"/>
  <c r="L15" i="4" s="1"/>
  <c r="F15" i="4"/>
  <c r="C17" i="4" a="1"/>
  <c r="C17" i="4" s="1"/>
  <c r="G16" i="4" a="1"/>
  <c r="G16" i="4" s="1"/>
  <c r="E16" i="4" a="1"/>
  <c r="E16" i="4" s="1"/>
  <c r="H16" i="4"/>
  <c r="D15" i="4"/>
  <c r="I14" i="4" a="1"/>
  <c r="I14" i="4" s="1"/>
  <c r="K14" i="4" s="1" a="1"/>
  <c r="K14" i="4" s="1"/>
  <c r="AK9" i="3"/>
  <c r="AI9" i="3"/>
  <c r="AJ9" i="3"/>
  <c r="AP9" i="3"/>
  <c r="AG22" i="3"/>
  <c r="AQ9" i="3"/>
  <c r="AH22" i="3"/>
  <c r="AR9" i="3"/>
  <c r="AN22" i="3"/>
  <c r="AH9" i="3"/>
  <c r="AN35" i="3"/>
  <c r="AO22" i="3"/>
  <c r="AL35" i="3"/>
  <c r="AU5" i="3"/>
  <c r="AP22" i="3"/>
  <c r="AM35" i="3"/>
  <c r="AO9" i="3"/>
  <c r="AJ22" i="3"/>
  <c r="AO35" i="3"/>
  <c r="AS35" i="3"/>
  <c r="AG9" i="3"/>
  <c r="AM9" i="3"/>
  <c r="AG35" i="3"/>
  <c r="AK35" i="3"/>
  <c r="AL22" i="3"/>
  <c r="AQ35" i="3"/>
  <c r="AH35" i="3"/>
  <c r="AI35" i="3"/>
  <c r="AL9" i="3"/>
  <c r="AQ22" i="3"/>
  <c r="AI22" i="3"/>
  <c r="AM22" i="3"/>
  <c r="AN9" i="3"/>
  <c r="AP35" i="3"/>
  <c r="AS22" i="3"/>
  <c r="AR35" i="3"/>
  <c r="AK22" i="3"/>
  <c r="AS9" i="3"/>
  <c r="AJ35" i="3"/>
  <c r="AR22" i="3"/>
  <c r="L64" i="5" l="1"/>
  <c r="N64" i="5" s="1"/>
  <c r="P65" i="5"/>
  <c r="L77" i="5"/>
  <c r="N77" i="5" s="1"/>
  <c r="P77" i="5"/>
  <c r="P64" i="5"/>
  <c r="P63" i="5"/>
  <c r="L65" i="5"/>
  <c r="N65" i="5" s="1"/>
  <c r="M63" i="5"/>
  <c r="M60" i="5"/>
  <c r="P60" i="5"/>
  <c r="L68" i="5"/>
  <c r="N68" i="5" s="1"/>
  <c r="M68" i="5"/>
  <c r="P88" i="5"/>
  <c r="L91" i="5"/>
  <c r="N91" i="5" s="1"/>
  <c r="M87" i="5"/>
  <c r="L93" i="5"/>
  <c r="N93" i="5" s="1"/>
  <c r="P93" i="5"/>
  <c r="P67" i="5"/>
  <c r="P91" i="5"/>
  <c r="P87" i="5"/>
  <c r="M97" i="5"/>
  <c r="L76" i="5"/>
  <c r="N76" i="5" s="1"/>
  <c r="M76" i="5"/>
  <c r="P69" i="5"/>
  <c r="L69" i="5"/>
  <c r="O69" i="5" s="1"/>
  <c r="P89" i="5"/>
  <c r="L89" i="5"/>
  <c r="N89" i="5" s="1"/>
  <c r="L85" i="5"/>
  <c r="N85" i="5" s="1"/>
  <c r="M83" i="5"/>
  <c r="L92" i="5"/>
  <c r="N92" i="5" s="1"/>
  <c r="M92" i="5"/>
  <c r="L67" i="5"/>
  <c r="N67" i="5" s="1"/>
  <c r="L99" i="5"/>
  <c r="N99" i="5" s="1"/>
  <c r="P75" i="5"/>
  <c r="L75" i="5"/>
  <c r="O75" i="5" s="1"/>
  <c r="P97" i="5"/>
  <c r="M79" i="5"/>
  <c r="L84" i="5"/>
  <c r="O84" i="5" s="1"/>
  <c r="P84" i="5"/>
  <c r="L95" i="5"/>
  <c r="O95" i="5" s="1"/>
  <c r="M95" i="5"/>
  <c r="L100" i="5"/>
  <c r="O100" i="5" s="1"/>
  <c r="L73" i="5"/>
  <c r="N73" i="5" s="1"/>
  <c r="M61" i="5"/>
  <c r="P99" i="5"/>
  <c r="L79" i="5"/>
  <c r="N79" i="5" s="1"/>
  <c r="L61" i="5"/>
  <c r="N61" i="5" s="1"/>
  <c r="M88" i="5"/>
  <c r="P83" i="5"/>
  <c r="L80" i="5"/>
  <c r="O80" i="5" s="1"/>
  <c r="L101" i="5"/>
  <c r="N101" i="5" s="1"/>
  <c r="M72" i="5"/>
  <c r="P85" i="5"/>
  <c r="M100" i="5"/>
  <c r="M96" i="5"/>
  <c r="M59" i="5"/>
  <c r="M73" i="5"/>
  <c r="L72" i="5"/>
  <c r="N72" i="5" s="1"/>
  <c r="P101" i="5"/>
  <c r="M80" i="5"/>
  <c r="P59" i="5"/>
  <c r="P71" i="5"/>
  <c r="L71" i="5"/>
  <c r="N71" i="5" s="1"/>
  <c r="P96" i="5"/>
  <c r="Q57" i="5"/>
  <c r="O57" i="5"/>
  <c r="R57" i="5"/>
  <c r="Q96" i="5"/>
  <c r="R88" i="5"/>
  <c r="R63" i="5"/>
  <c r="R83" i="5"/>
  <c r="Q83" i="5"/>
  <c r="Q88" i="5"/>
  <c r="Q97" i="5"/>
  <c r="R96" i="5"/>
  <c r="Q87" i="5"/>
  <c r="R60" i="5"/>
  <c r="R59" i="5"/>
  <c r="R87" i="5"/>
  <c r="Q60" i="5"/>
  <c r="Q63" i="5"/>
  <c r="R97" i="5"/>
  <c r="Q59" i="5"/>
  <c r="Q55" i="5"/>
  <c r="R55" i="5"/>
  <c r="O60" i="5"/>
  <c r="N59" i="5"/>
  <c r="N96" i="5"/>
  <c r="O83" i="5"/>
  <c r="N88" i="5"/>
  <c r="N63" i="5"/>
  <c r="O87" i="5"/>
  <c r="O97" i="5"/>
  <c r="N55" i="5"/>
  <c r="O55" i="5"/>
  <c r="V14" i="4"/>
  <c r="L16" i="4" a="1"/>
  <c r="L16" i="4" s="1"/>
  <c r="M15" i="4" a="1"/>
  <c r="M15" i="4" s="1"/>
  <c r="C18" i="4" a="1"/>
  <c r="C18" i="4" s="1"/>
  <c r="H17" i="4"/>
  <c r="G17" i="4" a="1"/>
  <c r="G17" i="4" s="1"/>
  <c r="E17" i="4" a="1"/>
  <c r="E17" i="4" s="1"/>
  <c r="F16" i="4"/>
  <c r="D16" i="4"/>
  <c r="I15" i="4" a="1"/>
  <c r="I15" i="4" s="1"/>
  <c r="K15" i="4" s="1" a="1"/>
  <c r="K15" i="4" s="1"/>
  <c r="J17" i="4" a="1"/>
  <c r="J17" i="4" s="1"/>
  <c r="AZ9" i="3"/>
  <c r="BI5" i="3"/>
  <c r="BG22" i="3"/>
  <c r="AW35" i="3"/>
  <c r="BE35" i="3"/>
  <c r="BA9" i="3"/>
  <c r="AY22" i="3"/>
  <c r="BB35" i="3"/>
  <c r="BC22" i="3"/>
  <c r="BG9" i="3"/>
  <c r="AV9" i="3"/>
  <c r="AY9" i="3"/>
  <c r="AU22" i="3"/>
  <c r="AZ35" i="3"/>
  <c r="BC9" i="3"/>
  <c r="AW9" i="3"/>
  <c r="BE22" i="3"/>
  <c r="BA35" i="3"/>
  <c r="BF22" i="3"/>
  <c r="BG35" i="3"/>
  <c r="AU9" i="3"/>
  <c r="AZ22" i="3"/>
  <c r="BD22" i="3"/>
  <c r="AX22" i="3"/>
  <c r="BE9" i="3"/>
  <c r="AY35" i="3"/>
  <c r="AV22" i="3"/>
  <c r="BB22" i="3"/>
  <c r="BB9" i="3"/>
  <c r="BC35" i="3"/>
  <c r="AU35" i="3"/>
  <c r="BF9" i="3"/>
  <c r="BD35" i="3"/>
  <c r="BA22" i="3"/>
  <c r="BF35" i="3"/>
  <c r="AW22" i="3"/>
  <c r="AX9" i="3"/>
  <c r="AV35" i="3"/>
  <c r="BD9" i="3"/>
  <c r="AX35" i="3"/>
  <c r="O68" i="5" l="1"/>
  <c r="O64" i="5"/>
  <c r="Q64" i="5"/>
  <c r="R64" i="5"/>
  <c r="O77" i="5"/>
  <c r="R77" i="5"/>
  <c r="Q77" i="5"/>
  <c r="Q68" i="5"/>
  <c r="R68" i="5"/>
  <c r="Q65" i="5"/>
  <c r="O65" i="5"/>
  <c r="R65" i="5"/>
  <c r="O85" i="5"/>
  <c r="O79" i="5"/>
  <c r="O89" i="5"/>
  <c r="Q91" i="5"/>
  <c r="Q92" i="5"/>
  <c r="O91" i="5"/>
  <c r="R91" i="5"/>
  <c r="R92" i="5"/>
  <c r="R89" i="5"/>
  <c r="Q93" i="5"/>
  <c r="O93" i="5"/>
  <c r="O76" i="5"/>
  <c r="Q76" i="5"/>
  <c r="R93" i="5"/>
  <c r="N84" i="5"/>
  <c r="Q84" i="5"/>
  <c r="R76" i="5"/>
  <c r="N69" i="5"/>
  <c r="R69" i="5"/>
  <c r="Q69" i="5"/>
  <c r="R85" i="5"/>
  <c r="Q85" i="5"/>
  <c r="Q89" i="5"/>
  <c r="O67" i="5"/>
  <c r="N75" i="5"/>
  <c r="O92" i="5"/>
  <c r="Q99" i="5"/>
  <c r="Q67" i="5"/>
  <c r="R73" i="5"/>
  <c r="R75" i="5"/>
  <c r="Q75" i="5"/>
  <c r="R84" i="5"/>
  <c r="R99" i="5"/>
  <c r="O99" i="5"/>
  <c r="R67" i="5"/>
  <c r="O61" i="5"/>
  <c r="R95" i="5"/>
  <c r="N95" i="5"/>
  <c r="O73" i="5"/>
  <c r="R100" i="5"/>
  <c r="N100" i="5"/>
  <c r="O72" i="5"/>
  <c r="N80" i="5"/>
  <c r="Q100" i="5"/>
  <c r="Q73" i="5"/>
  <c r="R101" i="5"/>
  <c r="Q95" i="5"/>
  <c r="R79" i="5"/>
  <c r="Q61" i="5"/>
  <c r="R61" i="5"/>
  <c r="Q79" i="5"/>
  <c r="Q101" i="5"/>
  <c r="R80" i="5"/>
  <c r="R72" i="5"/>
  <c r="Q72" i="5"/>
  <c r="Q80" i="5"/>
  <c r="O101" i="5"/>
  <c r="Q71" i="5"/>
  <c r="R71" i="5"/>
  <c r="O71" i="5"/>
  <c r="J18" i="4" a="1"/>
  <c r="J18" i="4" s="1"/>
  <c r="V15" i="4"/>
  <c r="L17" i="4" a="1"/>
  <c r="L17" i="4" s="1"/>
  <c r="M16" i="4" a="1"/>
  <c r="M16" i="4" s="1"/>
  <c r="D17" i="4"/>
  <c r="I16" i="4" a="1"/>
  <c r="I16" i="4" s="1"/>
  <c r="K16" i="4" s="1" a="1"/>
  <c r="K16" i="4" s="1"/>
  <c r="F17" i="4"/>
  <c r="C19" i="4" a="1"/>
  <c r="C19" i="4" s="1"/>
  <c r="N14" i="4" s="1" a="1"/>
  <c r="N14" i="4" s="1"/>
  <c r="H18" i="4"/>
  <c r="G18" i="4" a="1"/>
  <c r="G18" i="4" s="1"/>
  <c r="E18" i="4" a="1"/>
  <c r="E18" i="4" s="1"/>
  <c r="BW5" i="3"/>
  <c r="BJ9" i="3"/>
  <c r="BR9" i="3"/>
  <c r="BK22" i="3"/>
  <c r="BS22" i="3"/>
  <c r="BL35" i="3"/>
  <c r="BT35" i="3"/>
  <c r="BQ22" i="3"/>
  <c r="BR35" i="3"/>
  <c r="BI9" i="3"/>
  <c r="BK35" i="3"/>
  <c r="BK9" i="3"/>
  <c r="BS9" i="3"/>
  <c r="BL22" i="3"/>
  <c r="BT22" i="3"/>
  <c r="BM35" i="3"/>
  <c r="BU35" i="3"/>
  <c r="BR22" i="3"/>
  <c r="BL9" i="3"/>
  <c r="BT9" i="3"/>
  <c r="BM22" i="3"/>
  <c r="BU22" i="3"/>
  <c r="BN35" i="3"/>
  <c r="BJ22" i="3"/>
  <c r="BM9" i="3"/>
  <c r="BU9" i="3"/>
  <c r="BN22" i="3"/>
  <c r="BO35" i="3"/>
  <c r="BP9" i="3"/>
  <c r="BJ35" i="3"/>
  <c r="BQ9" i="3"/>
  <c r="BS35" i="3"/>
  <c r="BN9" i="3"/>
  <c r="BO22" i="3"/>
  <c r="BP35" i="3"/>
  <c r="BO9" i="3"/>
  <c r="BP22" i="3"/>
  <c r="BI35" i="3"/>
  <c r="BQ35" i="3"/>
  <c r="BI22" i="3"/>
  <c r="N15" i="4" l="1" a="1"/>
  <c r="N15" i="4" s="1"/>
  <c r="T15" i="4" s="1"/>
  <c r="N16" i="4" a="1"/>
  <c r="N16" i="4" s="1"/>
  <c r="O16" i="4" s="1"/>
  <c r="O14" i="4"/>
  <c r="T14" i="4"/>
  <c r="Q14" i="4"/>
  <c r="V16" i="4"/>
  <c r="N17" i="4" a="1"/>
  <c r="N17" i="4" s="1"/>
  <c r="M17" i="4" a="1"/>
  <c r="M17" i="4" s="1"/>
  <c r="V17" i="4" s="1"/>
  <c r="L18" i="4" a="1"/>
  <c r="L18" i="4" s="1"/>
  <c r="C20" i="4" a="1"/>
  <c r="C20" i="4" s="1"/>
  <c r="J20" i="4" s="1" a="1"/>
  <c r="J20" i="4" s="1"/>
  <c r="H19" i="4"/>
  <c r="G19" i="4" a="1"/>
  <c r="G19" i="4" s="1"/>
  <c r="E19" i="4" a="1"/>
  <c r="E19" i="4" s="1"/>
  <c r="F18" i="4"/>
  <c r="J19" i="4" a="1"/>
  <c r="J19" i="4" s="1"/>
  <c r="D18" i="4"/>
  <c r="I18" i="4" s="1" a="1"/>
  <c r="I18" i="4" s="1"/>
  <c r="K18" i="4" s="1" a="1"/>
  <c r="K18" i="4" s="1"/>
  <c r="I17" i="4" a="1"/>
  <c r="I17" i="4" s="1"/>
  <c r="K17" i="4" s="1" a="1"/>
  <c r="K17" i="4" s="1"/>
  <c r="CD9" i="3"/>
  <c r="CI9" i="3"/>
  <c r="CC22" i="3"/>
  <c r="BX35" i="3"/>
  <c r="CF35" i="3"/>
  <c r="BX9" i="3"/>
  <c r="CE22" i="3"/>
  <c r="BY35" i="3"/>
  <c r="CG35" i="3"/>
  <c r="CA22" i="3"/>
  <c r="CE35" i="3"/>
  <c r="BZ9" i="3"/>
  <c r="CG22" i="3"/>
  <c r="BZ35" i="3"/>
  <c r="CH35" i="3"/>
  <c r="CD35" i="3"/>
  <c r="CA9" i="3"/>
  <c r="BW22" i="3"/>
  <c r="CH22" i="3"/>
  <c r="CA35" i="3"/>
  <c r="CI35" i="3"/>
  <c r="CH9" i="3"/>
  <c r="CB9" i="3"/>
  <c r="BY22" i="3"/>
  <c r="CI22" i="3"/>
  <c r="CB35" i="3"/>
  <c r="CB22" i="3"/>
  <c r="CC9" i="3"/>
  <c r="BZ22" i="3"/>
  <c r="CC35" i="3"/>
  <c r="CF9" i="3"/>
  <c r="BW35" i="3"/>
  <c r="BX22" i="3"/>
  <c r="CG9" i="3"/>
  <c r="BY9" i="3"/>
  <c r="CD22" i="3"/>
  <c r="CE9" i="3"/>
  <c r="BW9" i="3"/>
  <c r="CF22" i="3"/>
  <c r="T16" i="4" l="1"/>
  <c r="Q16" i="4"/>
  <c r="O15" i="4"/>
  <c r="Q15" i="4"/>
  <c r="Q17" i="4"/>
  <c r="O17" i="4"/>
  <c r="L19" i="4" a="1"/>
  <c r="L19" i="4" s="1"/>
  <c r="T17" i="4"/>
  <c r="M18" i="4" a="1"/>
  <c r="M18" i="4" s="1"/>
  <c r="N18" i="4" a="1"/>
  <c r="N18" i="4" s="1"/>
  <c r="F19" i="4"/>
  <c r="D19" i="4"/>
  <c r="I19" i="4" s="1" a="1"/>
  <c r="I19" i="4" s="1"/>
  <c r="K19" i="4" s="1" a="1"/>
  <c r="K19" i="4" s="1"/>
  <c r="C21" i="4" a="1"/>
  <c r="C21" i="4" s="1"/>
  <c r="J21" i="4" s="1" a="1"/>
  <c r="J21" i="4" s="1"/>
  <c r="H20" i="4"/>
  <c r="G20" i="4" a="1"/>
  <c r="G20" i="4" s="1"/>
  <c r="E20" i="4" a="1"/>
  <c r="E20" i="4" s="1"/>
  <c r="P14" i="4"/>
  <c r="R16" i="4"/>
  <c r="P15" i="4"/>
  <c r="P16" i="4"/>
  <c r="R14" i="4"/>
  <c r="P17" i="4"/>
  <c r="R17" i="4"/>
  <c r="R15" i="4"/>
  <c r="S15" i="4" l="1"/>
  <c r="S16" i="4"/>
  <c r="S14" i="4"/>
  <c r="T18" i="4"/>
  <c r="V18" i="4"/>
  <c r="O18" i="4"/>
  <c r="Q18" i="4"/>
  <c r="S17" i="4"/>
  <c r="M19" i="4" a="1"/>
  <c r="M19" i="4" s="1"/>
  <c r="V19" i="4" s="1"/>
  <c r="N19" i="4" a="1"/>
  <c r="N19" i="4" s="1"/>
  <c r="L20" i="4" a="1"/>
  <c r="L20" i="4" s="1"/>
  <c r="F20" i="4"/>
  <c r="D20" i="4"/>
  <c r="C22" i="4" a="1"/>
  <c r="C22" i="4" s="1"/>
  <c r="J22" i="4" s="1" a="1"/>
  <c r="J22" i="4" s="1"/>
  <c r="H21" i="4"/>
  <c r="G21" i="4" a="1"/>
  <c r="G21" i="4" s="1"/>
  <c r="E21" i="4" a="1"/>
  <c r="E21" i="4" s="1"/>
  <c r="Q19" i="4" l="1"/>
  <c r="O19" i="4"/>
  <c r="T19" i="4"/>
  <c r="L21" i="4" a="1"/>
  <c r="L21" i="4" s="1"/>
  <c r="N20" i="4" a="1"/>
  <c r="N20" i="4" s="1"/>
  <c r="M20" i="4" a="1"/>
  <c r="M20" i="4" s="1"/>
  <c r="V20" i="4" s="1"/>
  <c r="D21" i="4"/>
  <c r="I20" i="4" a="1"/>
  <c r="I20" i="4" s="1"/>
  <c r="K20" i="4" s="1" a="1"/>
  <c r="K20" i="4" s="1"/>
  <c r="C23" i="4" a="1"/>
  <c r="C23" i="4" s="1"/>
  <c r="H22" i="4"/>
  <c r="G22" i="4" a="1"/>
  <c r="G22" i="4" s="1"/>
  <c r="E22" i="4" a="1"/>
  <c r="E22" i="4" s="1"/>
  <c r="F21" i="4"/>
  <c r="R19" i="4"/>
  <c r="R18" i="4"/>
  <c r="O20" i="4" l="1"/>
  <c r="T20" i="4"/>
  <c r="Q20" i="4"/>
  <c r="M21" i="4" a="1"/>
  <c r="M21" i="4" s="1"/>
  <c r="L22" i="4" a="1"/>
  <c r="L22" i="4" s="1"/>
  <c r="C24" i="4" a="1"/>
  <c r="C24" i="4" s="1"/>
  <c r="J24" i="4" s="1" a="1"/>
  <c r="J24" i="4" s="1"/>
  <c r="E23" i="4" a="1"/>
  <c r="E23" i="4" s="1"/>
  <c r="H23" i="4"/>
  <c r="G23" i="4" a="1"/>
  <c r="G23" i="4" s="1"/>
  <c r="F22" i="4"/>
  <c r="J23" i="4" a="1"/>
  <c r="J23" i="4" s="1"/>
  <c r="D22" i="4"/>
  <c r="I21" i="4" a="1"/>
  <c r="I21" i="4" s="1"/>
  <c r="K21" i="4" s="1" a="1"/>
  <c r="K21" i="4" s="1"/>
  <c r="R20" i="4"/>
  <c r="P20" i="4"/>
  <c r="P18" i="4"/>
  <c r="P19" i="4"/>
  <c r="S20" i="4" l="1"/>
  <c r="S19" i="4"/>
  <c r="S18" i="4"/>
  <c r="N21" i="4" a="1"/>
  <c r="N21" i="4" s="1"/>
  <c r="T21" i="4" s="1"/>
  <c r="V21" i="4"/>
  <c r="L23" i="4" a="1"/>
  <c r="L23" i="4" s="1"/>
  <c r="O21" i="4"/>
  <c r="M22" i="4" a="1"/>
  <c r="M22" i="4" s="1"/>
  <c r="D23" i="4"/>
  <c r="I22" i="4" a="1"/>
  <c r="I22" i="4" s="1"/>
  <c r="K22" i="4" s="1" a="1"/>
  <c r="K22" i="4" s="1"/>
  <c r="F23" i="4"/>
  <c r="C25" i="4" a="1"/>
  <c r="C25" i="4" s="1"/>
  <c r="G24" i="4" a="1"/>
  <c r="G24" i="4" s="1"/>
  <c r="E24" i="4" a="1"/>
  <c r="E24" i="4" s="1"/>
  <c r="H24" i="4"/>
  <c r="U17" i="4"/>
  <c r="U16" i="4"/>
  <c r="U14" i="4"/>
  <c r="U15" i="4"/>
  <c r="Q21" i="4" l="1"/>
  <c r="V22" i="4"/>
  <c r="M23" i="4" a="1"/>
  <c r="M23" i="4" s="1"/>
  <c r="L24" i="4" a="1"/>
  <c r="L24" i="4" s="1"/>
  <c r="F24" i="4"/>
  <c r="C26" i="4" a="1"/>
  <c r="C26" i="4" s="1"/>
  <c r="G25" i="4" a="1"/>
  <c r="G25" i="4" s="1"/>
  <c r="E25" i="4" a="1"/>
  <c r="E25" i="4" s="1"/>
  <c r="H25" i="4"/>
  <c r="J25" i="4" a="1"/>
  <c r="J25" i="4" s="1"/>
  <c r="D24" i="4"/>
  <c r="I24" i="4" s="1" a="1"/>
  <c r="I24" i="4" s="1"/>
  <c r="K24" i="4" s="1" a="1"/>
  <c r="K24" i="4" s="1"/>
  <c r="I23" i="4" a="1"/>
  <c r="I23" i="4" s="1"/>
  <c r="K23" i="4" s="1" a="1"/>
  <c r="K23" i="4" s="1"/>
  <c r="R21" i="4"/>
  <c r="P21" i="4"/>
  <c r="W16" i="4"/>
  <c r="W15" i="4"/>
  <c r="W17" i="4"/>
  <c r="W14" i="4"/>
  <c r="X17" i="4" l="1"/>
  <c r="X16" i="4"/>
  <c r="X15" i="4"/>
  <c r="X14" i="4"/>
  <c r="V23" i="4"/>
  <c r="S21" i="4"/>
  <c r="L25" i="4" a="1"/>
  <c r="L25" i="4" s="1"/>
  <c r="M24" i="4" a="1"/>
  <c r="M24" i="4" s="1"/>
  <c r="V24" i="4" s="1"/>
  <c r="F25" i="4"/>
  <c r="D25" i="4"/>
  <c r="I25" i="4" s="1" a="1"/>
  <c r="I25" i="4" s="1"/>
  <c r="K25" i="4" s="1" a="1"/>
  <c r="K25" i="4" s="1"/>
  <c r="C27" i="4" a="1"/>
  <c r="C27" i="4" s="1"/>
  <c r="G26" i="4" a="1"/>
  <c r="G26" i="4" s="1"/>
  <c r="E26" i="4" a="1"/>
  <c r="E26" i="4" s="1"/>
  <c r="H26" i="4"/>
  <c r="J26" i="4" a="1"/>
  <c r="J26" i="4" s="1"/>
  <c r="U20" i="4"/>
  <c r="U19" i="4"/>
  <c r="U18" i="4"/>
  <c r="L26" i="4" l="1" a="1"/>
  <c r="L26" i="4" s="1"/>
  <c r="M25" i="4" a="1"/>
  <c r="M25" i="4" s="1"/>
  <c r="C28" i="4" a="1"/>
  <c r="C28" i="4" s="1"/>
  <c r="J28" i="4" s="1" a="1"/>
  <c r="J28" i="4" s="1"/>
  <c r="H27" i="4"/>
  <c r="G27" i="4" a="1"/>
  <c r="G27" i="4" s="1"/>
  <c r="E27" i="4" a="1"/>
  <c r="E27" i="4" s="1"/>
  <c r="D26" i="4"/>
  <c r="F26" i="4"/>
  <c r="J27" i="4" a="1"/>
  <c r="J27" i="4" s="1"/>
  <c r="W20" i="4"/>
  <c r="W19" i="4"/>
  <c r="W18" i="4"/>
  <c r="V25" i="4" l="1"/>
  <c r="X18" i="4"/>
  <c r="X19" i="4"/>
  <c r="X20" i="4"/>
  <c r="L27" i="4" a="1"/>
  <c r="L27" i="4" s="1"/>
  <c r="M26" i="4" a="1"/>
  <c r="M26" i="4" s="1"/>
  <c r="V26" i="4" s="1"/>
  <c r="F27" i="4"/>
  <c r="D27" i="4"/>
  <c r="I26" i="4" a="1"/>
  <c r="I26" i="4" s="1"/>
  <c r="K26" i="4" s="1" a="1"/>
  <c r="K26" i="4" s="1"/>
  <c r="C29" i="4" a="1"/>
  <c r="C29" i="4" s="1"/>
  <c r="H28" i="4"/>
  <c r="E28" i="4" a="1"/>
  <c r="E28" i="4" s="1"/>
  <c r="G28" i="4" a="1"/>
  <c r="G28" i="4" s="1"/>
  <c r="U21" i="4"/>
  <c r="W21" i="4"/>
  <c r="F41" i="5" l="1" a="1"/>
  <c r="F41" i="5" s="1"/>
  <c r="Z20" i="4"/>
  <c r="AA20" i="4"/>
  <c r="Y20" i="4"/>
  <c r="X21" i="4"/>
  <c r="L28" i="4" a="1"/>
  <c r="L28" i="4" s="1"/>
  <c r="M27" i="4" a="1"/>
  <c r="M27" i="4" s="1"/>
  <c r="F28" i="4"/>
  <c r="C30" i="4" a="1"/>
  <c r="C30" i="4" s="1"/>
  <c r="H29" i="4"/>
  <c r="E29" i="4" a="1"/>
  <c r="E29" i="4" s="1"/>
  <c r="G29" i="4" a="1"/>
  <c r="G29" i="4" s="1"/>
  <c r="D28" i="4"/>
  <c r="I27" i="4" a="1"/>
  <c r="I27" i="4" s="1"/>
  <c r="K27" i="4" s="1" a="1"/>
  <c r="K27" i="4" s="1"/>
  <c r="J29" i="4" a="1"/>
  <c r="J29" i="4" s="1"/>
  <c r="N22" i="4" l="1" a="1"/>
  <c r="N22" i="4" s="1"/>
  <c r="Q22" i="4" s="1"/>
  <c r="N25" i="4" a="1"/>
  <c r="N25" i="4" s="1"/>
  <c r="O22" i="4"/>
  <c r="T22" i="4"/>
  <c r="AJ22" i="4"/>
  <c r="AB20" i="4"/>
  <c r="AD20" i="4"/>
  <c r="AC20" i="4"/>
  <c r="V27" i="4"/>
  <c r="L29" i="4" a="1"/>
  <c r="L29" i="4" s="1"/>
  <c r="M28" i="4" a="1"/>
  <c r="M28" i="4" s="1"/>
  <c r="D29" i="4"/>
  <c r="I28" i="4" a="1"/>
  <c r="I28" i="4" s="1"/>
  <c r="K28" i="4" s="1" a="1"/>
  <c r="K28" i="4" s="1"/>
  <c r="C31" i="4" a="1"/>
  <c r="C31" i="4" s="1"/>
  <c r="N26" i="4" s="1" a="1"/>
  <c r="N26" i="4" s="1"/>
  <c r="G30" i="4" a="1"/>
  <c r="G30" i="4" s="1"/>
  <c r="H30" i="4"/>
  <c r="E30" i="4" a="1"/>
  <c r="E30" i="4" s="1"/>
  <c r="F29" i="4"/>
  <c r="J30" i="4" a="1"/>
  <c r="J30" i="4" s="1"/>
  <c r="N23" i="4" l="1" a="1"/>
  <c r="N23" i="4" s="1"/>
  <c r="Q23" i="4" s="1"/>
  <c r="O26" i="4"/>
  <c r="T26" i="4"/>
  <c r="Q26" i="4"/>
  <c r="N24" i="4" a="1"/>
  <c r="N24" i="4" s="1"/>
  <c r="O24" i="4" s="1"/>
  <c r="N28" i="4" a="1"/>
  <c r="N28" i="4" s="1"/>
  <c r="Q28" i="4" s="1"/>
  <c r="O23" i="4"/>
  <c r="N27" i="4" a="1"/>
  <c r="N27" i="4" s="1"/>
  <c r="T25" i="4"/>
  <c r="Q25" i="4"/>
  <c r="O25" i="4"/>
  <c r="V28" i="4"/>
  <c r="L30" i="4" a="1"/>
  <c r="L30" i="4" s="1"/>
  <c r="N29" i="4" a="1"/>
  <c r="N29" i="4" s="1"/>
  <c r="M29" i="4" a="1"/>
  <c r="M29" i="4" s="1"/>
  <c r="V29" i="4" s="1"/>
  <c r="C32" i="4" a="1"/>
  <c r="C32" i="4" s="1"/>
  <c r="J32" i="4" s="1" a="1"/>
  <c r="J32" i="4" s="1"/>
  <c r="G31" i="4" a="1"/>
  <c r="G31" i="4" s="1"/>
  <c r="H31" i="4"/>
  <c r="E31" i="4" a="1"/>
  <c r="E31" i="4" s="1"/>
  <c r="J31" i="4" a="1"/>
  <c r="J31" i="4" s="1"/>
  <c r="F30" i="4"/>
  <c r="D30" i="4"/>
  <c r="I30" i="4" s="1" a="1"/>
  <c r="I30" i="4" s="1"/>
  <c r="K30" i="4" s="1" a="1"/>
  <c r="K30" i="4" s="1"/>
  <c r="I29" i="4" a="1"/>
  <c r="I29" i="4" s="1"/>
  <c r="K29" i="4" s="1" a="1"/>
  <c r="K29" i="4" s="1"/>
  <c r="P22" i="4"/>
  <c r="R22" i="4"/>
  <c r="T23" i="4" l="1"/>
  <c r="T28" i="4"/>
  <c r="Q27" i="4"/>
  <c r="T27" i="4"/>
  <c r="O27" i="4"/>
  <c r="O28" i="4"/>
  <c r="T24" i="4"/>
  <c r="Q24" i="4"/>
  <c r="S22" i="4"/>
  <c r="Y21" i="4"/>
  <c r="AA21" i="4"/>
  <c r="Z21" i="4"/>
  <c r="Q29" i="4"/>
  <c r="M30" i="4" a="1"/>
  <c r="M30" i="4" s="1"/>
  <c r="V30" i="4" s="1"/>
  <c r="N30" i="4" a="1"/>
  <c r="N30" i="4" s="1"/>
  <c r="L31" i="4" a="1"/>
  <c r="L31" i="4" s="1"/>
  <c r="O29" i="4"/>
  <c r="T29" i="4"/>
  <c r="D31" i="4"/>
  <c r="I31" i="4" s="1" a="1"/>
  <c r="I31" i="4" s="1"/>
  <c r="K31" i="4" s="1" a="1"/>
  <c r="K31" i="4" s="1"/>
  <c r="F31" i="4"/>
  <c r="C33" i="4" a="1"/>
  <c r="C33" i="4" s="1"/>
  <c r="J33" i="4" s="1" a="1"/>
  <c r="J33" i="4" s="1"/>
  <c r="G32" i="4" a="1"/>
  <c r="G32" i="4" s="1"/>
  <c r="H32" i="4"/>
  <c r="E32" i="4" a="1"/>
  <c r="E32" i="4" s="1"/>
  <c r="R29" i="4"/>
  <c r="P29" i="4"/>
  <c r="P27" i="4"/>
  <c r="P23" i="4"/>
  <c r="P26" i="4"/>
  <c r="R25" i="4"/>
  <c r="P25" i="4"/>
  <c r="R26" i="4"/>
  <c r="R24" i="4"/>
  <c r="R27" i="4"/>
  <c r="P28" i="4"/>
  <c r="R28" i="4"/>
  <c r="P24" i="4"/>
  <c r="R23" i="4"/>
  <c r="S23" i="4" l="1"/>
  <c r="S25" i="4"/>
  <c r="S26" i="4"/>
  <c r="S24" i="4"/>
  <c r="S28" i="4"/>
  <c r="S27" i="4"/>
  <c r="AB21" i="4"/>
  <c r="AD21" i="4"/>
  <c r="AC21" i="4"/>
  <c r="Q30" i="4"/>
  <c r="O30" i="4"/>
  <c r="T30" i="4"/>
  <c r="S29" i="4"/>
  <c r="M31" i="4" a="1"/>
  <c r="M31" i="4" s="1"/>
  <c r="N31" i="4" a="1"/>
  <c r="N31" i="4" s="1"/>
  <c r="L32" i="4" a="1"/>
  <c r="L32" i="4" s="1"/>
  <c r="C34" i="4" a="1"/>
  <c r="C34" i="4" s="1"/>
  <c r="J34" i="4" s="1" a="1"/>
  <c r="J34" i="4" s="1"/>
  <c r="E33" i="4" a="1"/>
  <c r="E33" i="4" s="1"/>
  <c r="H33" i="4"/>
  <c r="G33" i="4" a="1"/>
  <c r="G33" i="4" s="1"/>
  <c r="D32" i="4"/>
  <c r="I32" i="4" s="1" a="1"/>
  <c r="I32" i="4" s="1"/>
  <c r="K32" i="4" s="1" a="1"/>
  <c r="K32" i="4" s="1"/>
  <c r="F32" i="4"/>
  <c r="R30" i="4"/>
  <c r="P30" i="4"/>
  <c r="T31" i="4" l="1"/>
  <c r="Q31" i="4"/>
  <c r="O31" i="4"/>
  <c r="V31" i="4"/>
  <c r="S30" i="4"/>
  <c r="L33" i="4" a="1"/>
  <c r="L33" i="4" s="1"/>
  <c r="M32" i="4" a="1"/>
  <c r="M32" i="4" s="1"/>
  <c r="V32" i="4" s="1"/>
  <c r="N32" i="4" a="1"/>
  <c r="N32" i="4" s="1"/>
  <c r="D33" i="4"/>
  <c r="I33" i="4" s="1" a="1"/>
  <c r="I33" i="4" s="1"/>
  <c r="K33" i="4" s="1" a="1"/>
  <c r="K33" i="4" s="1"/>
  <c r="F33" i="4"/>
  <c r="C35" i="4" a="1"/>
  <c r="C35" i="4" s="1"/>
  <c r="J35" i="4" s="1" a="1"/>
  <c r="J35" i="4" s="1"/>
  <c r="E34" i="4" a="1"/>
  <c r="E34" i="4" s="1"/>
  <c r="G34" i="4" a="1"/>
  <c r="G34" i="4" s="1"/>
  <c r="H34" i="4"/>
  <c r="U22" i="4"/>
  <c r="R31" i="4"/>
  <c r="P31" i="4"/>
  <c r="T32" i="4" l="1"/>
  <c r="Q32" i="4"/>
  <c r="O32" i="4"/>
  <c r="S31" i="4"/>
  <c r="N33" i="4" a="1"/>
  <c r="N33" i="4" s="1"/>
  <c r="M33" i="4" a="1"/>
  <c r="M33" i="4" s="1"/>
  <c r="T33" i="4" s="1"/>
  <c r="C36" i="4" a="1"/>
  <c r="C36" i="4" s="1"/>
  <c r="J36" i="4" s="1" a="1"/>
  <c r="J36" i="4" s="1"/>
  <c r="H35" i="4"/>
  <c r="G35" i="4" a="1"/>
  <c r="G35" i="4" s="1"/>
  <c r="E35" i="4" a="1"/>
  <c r="E35" i="4" s="1"/>
  <c r="F34" i="4"/>
  <c r="D34" i="4"/>
  <c r="I34" i="4" s="1" a="1"/>
  <c r="I34" i="4" s="1"/>
  <c r="K34" i="4" s="1" a="1"/>
  <c r="K34" i="4" s="1"/>
  <c r="P32" i="4"/>
  <c r="W22" i="4"/>
  <c r="U23" i="4"/>
  <c r="U27" i="4"/>
  <c r="U28" i="4"/>
  <c r="U25" i="4"/>
  <c r="U29" i="4"/>
  <c r="U24" i="4"/>
  <c r="U26" i="4"/>
  <c r="U30" i="4"/>
  <c r="X22" i="4" l="1"/>
  <c r="O33" i="4"/>
  <c r="V33" i="4"/>
  <c r="Q33" i="4"/>
  <c r="M34" i="4" a="1"/>
  <c r="M34" i="4" s="1"/>
  <c r="K35" i="4" a="1"/>
  <c r="K35" i="4" s="1"/>
  <c r="F35" i="4"/>
  <c r="D35" i="4"/>
  <c r="I35" i="4" s="1" a="1"/>
  <c r="I35" i="4" s="1"/>
  <c r="C37" i="4" a="1"/>
  <c r="C37" i="4" s="1"/>
  <c r="J37" i="4" s="1" a="1"/>
  <c r="J37" i="4" s="1"/>
  <c r="H36" i="4"/>
  <c r="G36" i="4" a="1"/>
  <c r="G36" i="4" s="1"/>
  <c r="E36" i="4" a="1"/>
  <c r="E36" i="4" s="1"/>
  <c r="P33" i="4"/>
  <c r="W23" i="4"/>
  <c r="W24" i="4"/>
  <c r="W28" i="4"/>
  <c r="W30" i="4"/>
  <c r="W25" i="4"/>
  <c r="W26" i="4"/>
  <c r="W29" i="4"/>
  <c r="W27" i="4"/>
  <c r="X25" i="4" l="1"/>
  <c r="X27" i="4"/>
  <c r="X26" i="4"/>
  <c r="X23" i="4"/>
  <c r="X28" i="4"/>
  <c r="X24" i="4"/>
  <c r="N34" i="4" a="1"/>
  <c r="N34" i="4" s="1"/>
  <c r="Q34" i="4" s="1"/>
  <c r="X29" i="4"/>
  <c r="V34" i="4"/>
  <c r="X30" i="4"/>
  <c r="K36" i="4" a="1"/>
  <c r="K36" i="4" s="1"/>
  <c r="M35" i="4" a="1"/>
  <c r="M35" i="4" s="1"/>
  <c r="V35" i="4" s="1"/>
  <c r="F36" i="4"/>
  <c r="D36" i="4"/>
  <c r="I36" i="4" s="1" a="1"/>
  <c r="I36" i="4" s="1"/>
  <c r="C38" i="4" a="1"/>
  <c r="C38" i="4" s="1"/>
  <c r="J38" i="4" s="1" a="1"/>
  <c r="J38" i="4" s="1"/>
  <c r="E37" i="4" a="1"/>
  <c r="E37" i="4" s="1"/>
  <c r="H37" i="4"/>
  <c r="G37" i="4" a="1"/>
  <c r="G37" i="4" s="1"/>
  <c r="U31" i="4"/>
  <c r="N35" i="4" l="1" a="1"/>
  <c r="N35" i="4" s="1"/>
  <c r="O35" i="4" s="1"/>
  <c r="O34" i="4"/>
  <c r="T34" i="4"/>
  <c r="K37" i="4" a="1"/>
  <c r="K37" i="4" s="1"/>
  <c r="L37" i="4" a="1"/>
  <c r="L37" i="4" s="1"/>
  <c r="N36" i="4" a="1"/>
  <c r="N36" i="4" s="1"/>
  <c r="M36" i="4" a="1"/>
  <c r="M36" i="4" s="1"/>
  <c r="C39" i="4" a="1"/>
  <c r="C39" i="4" s="1"/>
  <c r="J39" i="4" s="1" a="1"/>
  <c r="J39" i="4" s="1"/>
  <c r="H38" i="4"/>
  <c r="E38" i="4" a="1"/>
  <c r="E38" i="4" s="1"/>
  <c r="G38" i="4" a="1"/>
  <c r="G38" i="4" s="1"/>
  <c r="F37" i="4"/>
  <c r="D37" i="4"/>
  <c r="I37" i="4" s="1" a="1"/>
  <c r="I37" i="4" s="1"/>
  <c r="P34" i="4"/>
  <c r="W31" i="4"/>
  <c r="Q35" i="4" l="1"/>
  <c r="T35" i="4"/>
  <c r="Q36" i="4"/>
  <c r="V36" i="4"/>
  <c r="T36" i="4"/>
  <c r="O36" i="4"/>
  <c r="X31" i="4"/>
  <c r="M37" i="4" a="1"/>
  <c r="M37" i="4" s="1"/>
  <c r="N37" i="4" a="1"/>
  <c r="N37" i="4" s="1"/>
  <c r="K38" i="4" a="1"/>
  <c r="K38" i="4" s="1"/>
  <c r="D38" i="4"/>
  <c r="I38" i="4" s="1" a="1"/>
  <c r="I38" i="4" s="1"/>
  <c r="F38" i="4"/>
  <c r="C40" i="4" a="1"/>
  <c r="C40" i="4" s="1"/>
  <c r="J40" i="4" s="1" a="1"/>
  <c r="J40" i="4" s="1"/>
  <c r="H39" i="4"/>
  <c r="E39" i="4" a="1"/>
  <c r="E39" i="4" s="1"/>
  <c r="G39" i="4" a="1"/>
  <c r="G39" i="4" s="1"/>
  <c r="P36" i="4"/>
  <c r="P35" i="4"/>
  <c r="Q37" i="4" l="1"/>
  <c r="O37" i="4"/>
  <c r="T37" i="4"/>
  <c r="V37" i="4"/>
  <c r="K39" i="4" a="1"/>
  <c r="K39" i="4" s="1"/>
  <c r="L39" i="4" a="1"/>
  <c r="L39" i="4" s="1"/>
  <c r="M38" i="4" a="1"/>
  <c r="M38" i="4" s="1"/>
  <c r="N38" i="4" a="1"/>
  <c r="N38" i="4" s="1"/>
  <c r="D39" i="4"/>
  <c r="I39" i="4" s="1" a="1"/>
  <c r="I39" i="4" s="1"/>
  <c r="F39" i="4"/>
  <c r="C41" i="4" a="1"/>
  <c r="C41" i="4" s="1"/>
  <c r="J41" i="4" s="1" a="1"/>
  <c r="J41" i="4" s="1"/>
  <c r="E40" i="4" a="1"/>
  <c r="E40" i="4" s="1"/>
  <c r="H40" i="4"/>
  <c r="G40" i="4" a="1"/>
  <c r="G40" i="4" s="1"/>
  <c r="P37" i="4"/>
  <c r="T38" i="4" l="1"/>
  <c r="Q38" i="4"/>
  <c r="O38" i="4"/>
  <c r="V38" i="4"/>
  <c r="U39" i="4"/>
  <c r="X39" i="4"/>
  <c r="V39" i="4"/>
  <c r="W39" i="4"/>
  <c r="AB40" i="4"/>
  <c r="AA40" i="4"/>
  <c r="Y40" i="4"/>
  <c r="Z40" i="4"/>
  <c r="AC40" i="4"/>
  <c r="AD40" i="4"/>
  <c r="K40" i="4" a="1"/>
  <c r="K40" i="4" s="1"/>
  <c r="L40" i="4" a="1"/>
  <c r="L40" i="4" s="1"/>
  <c r="Q39" i="4"/>
  <c r="M39" i="4" a="1"/>
  <c r="M39" i="4" s="1"/>
  <c r="N39" i="4" a="1"/>
  <c r="N39" i="4" s="1"/>
  <c r="T39" i="4"/>
  <c r="R39" i="4"/>
  <c r="O39" i="4"/>
  <c r="P39" i="4"/>
  <c r="S39" i="4"/>
  <c r="C42" i="4" a="1"/>
  <c r="C42" i="4" s="1"/>
  <c r="J42" i="4" s="1" a="1"/>
  <c r="J42" i="4" s="1"/>
  <c r="G41" i="4" a="1"/>
  <c r="G41" i="4" s="1"/>
  <c r="H41" i="4"/>
  <c r="E41" i="4" a="1"/>
  <c r="E41" i="4" s="1"/>
  <c r="D40" i="4"/>
  <c r="I40" i="4" s="1" a="1"/>
  <c r="I40" i="4" s="1"/>
  <c r="F40" i="4"/>
  <c r="P38" i="4"/>
  <c r="W40" i="4" l="1"/>
  <c r="U40" i="4"/>
  <c r="X40" i="4"/>
  <c r="V40" i="4"/>
  <c r="AC41" i="4"/>
  <c r="AB41" i="4"/>
  <c r="AA41" i="4"/>
  <c r="Y41" i="4"/>
  <c r="Z41" i="4"/>
  <c r="AD41" i="4"/>
  <c r="L41" i="4" a="1"/>
  <c r="L41" i="4" s="1"/>
  <c r="K41" i="4" a="1"/>
  <c r="K41" i="4" s="1"/>
  <c r="N40" i="4" a="1"/>
  <c r="N40" i="4" s="1"/>
  <c r="Q40" i="4"/>
  <c r="T40" i="4"/>
  <c r="R40" i="4"/>
  <c r="O40" i="4"/>
  <c r="M40" i="4" a="1"/>
  <c r="M40" i="4" s="1"/>
  <c r="P40" i="4"/>
  <c r="S40" i="4"/>
  <c r="F41" i="4"/>
  <c r="D41" i="4"/>
  <c r="I41" i="4" s="1" a="1"/>
  <c r="I41" i="4" s="1"/>
  <c r="C43" i="4" a="1"/>
  <c r="C43" i="4" s="1"/>
  <c r="J43" i="4" s="1" a="1"/>
  <c r="J43" i="4" s="1"/>
  <c r="E42" i="4" a="1"/>
  <c r="E42" i="4" s="1"/>
  <c r="G42" i="4" a="1"/>
  <c r="G42" i="4" s="1"/>
  <c r="H42" i="4"/>
  <c r="AD42" i="4" l="1"/>
  <c r="AC42" i="4"/>
  <c r="AB42" i="4"/>
  <c r="Z42" i="4"/>
  <c r="AA42" i="4"/>
  <c r="Y42" i="4"/>
  <c r="W41" i="4"/>
  <c r="U41" i="4"/>
  <c r="X41" i="4"/>
  <c r="V41" i="4"/>
  <c r="S41" i="4"/>
  <c r="N41" i="4" a="1"/>
  <c r="N41" i="4" s="1"/>
  <c r="Q41" i="4"/>
  <c r="T41" i="4"/>
  <c r="R41" i="4"/>
  <c r="O41" i="4"/>
  <c r="P41" i="4"/>
  <c r="M41" i="4" a="1"/>
  <c r="M41" i="4" s="1"/>
  <c r="L42" i="4" a="1"/>
  <c r="L42" i="4" s="1"/>
  <c r="K42" i="4" a="1"/>
  <c r="K42" i="4" s="1"/>
  <c r="C44" i="4" a="1"/>
  <c r="C44" i="4" s="1"/>
  <c r="H43" i="4"/>
  <c r="E43" i="4" a="1"/>
  <c r="E43" i="4" s="1"/>
  <c r="G43" i="4" a="1"/>
  <c r="G43" i="4" s="1"/>
  <c r="F42" i="4"/>
  <c r="D42" i="4"/>
  <c r="I42" i="4" s="1" a="1"/>
  <c r="I42" i="4" s="1"/>
  <c r="V42" i="4" l="1"/>
  <c r="X42" i="4"/>
  <c r="W42" i="4"/>
  <c r="U42" i="4"/>
  <c r="AD43" i="4"/>
  <c r="AC43" i="4"/>
  <c r="AA43" i="4"/>
  <c r="Y43" i="4"/>
  <c r="AB43" i="4"/>
  <c r="Z43" i="4"/>
  <c r="N42" i="4" a="1"/>
  <c r="N42" i="4" s="1"/>
  <c r="P42" i="4"/>
  <c r="S42" i="4"/>
  <c r="Q42" i="4"/>
  <c r="M42" i="4" a="1"/>
  <c r="M42" i="4" s="1"/>
  <c r="T42" i="4"/>
  <c r="R42" i="4"/>
  <c r="O42" i="4"/>
  <c r="L43" i="4" a="1"/>
  <c r="L43" i="4" s="1"/>
  <c r="K43" i="4" a="1"/>
  <c r="K43" i="4" s="1"/>
  <c r="C45" i="4" a="1"/>
  <c r="C45" i="4" s="1"/>
  <c r="J45" i="4" s="1" a="1"/>
  <c r="J45" i="4" s="1"/>
  <c r="H44" i="4"/>
  <c r="G44" i="4" a="1"/>
  <c r="G44" i="4" s="1"/>
  <c r="E44" i="4" a="1"/>
  <c r="E44" i="4" s="1"/>
  <c r="J44" i="4" a="1"/>
  <c r="J44" i="4" s="1"/>
  <c r="F43" i="4"/>
  <c r="D43" i="4"/>
  <c r="I43" i="4" s="1" a="1"/>
  <c r="I43" i="4" s="1"/>
  <c r="V43" i="4" l="1"/>
  <c r="W43" i="4"/>
  <c r="U43" i="4"/>
  <c r="X43" i="4"/>
  <c r="AD44" i="4"/>
  <c r="AB44" i="4"/>
  <c r="AC44" i="4"/>
  <c r="AA44" i="4"/>
  <c r="Y44" i="4"/>
  <c r="Z44" i="4"/>
  <c r="P43" i="4"/>
  <c r="M43" i="4" a="1"/>
  <c r="M43" i="4" s="1"/>
  <c r="S43" i="4"/>
  <c r="Q43" i="4"/>
  <c r="N43" i="4" a="1"/>
  <c r="N43" i="4" s="1"/>
  <c r="T43" i="4"/>
  <c r="R43" i="4"/>
  <c r="O43" i="4"/>
  <c r="L44" i="4" a="1"/>
  <c r="L44" i="4" s="1"/>
  <c r="K44" i="4" a="1"/>
  <c r="K44" i="4" s="1"/>
  <c r="F44" i="4"/>
  <c r="D44" i="4"/>
  <c r="I44" i="4" s="1" a="1"/>
  <c r="I44" i="4" s="1"/>
  <c r="C46" i="4" a="1"/>
  <c r="C46" i="4" s="1"/>
  <c r="J46" i="4" s="1" a="1"/>
  <c r="J46" i="4" s="1"/>
  <c r="G45" i="4" a="1"/>
  <c r="G45" i="4" s="1"/>
  <c r="E45" i="4" a="1"/>
  <c r="E45" i="4" s="1"/>
  <c r="H45" i="4"/>
  <c r="AC45" i="4" l="1"/>
  <c r="Z45" i="4"/>
  <c r="AD45" i="4"/>
  <c r="AB45" i="4"/>
  <c r="AA45" i="4"/>
  <c r="Y45" i="4"/>
  <c r="X44" i="4"/>
  <c r="V44" i="4"/>
  <c r="W44" i="4"/>
  <c r="U44" i="4"/>
  <c r="S44" i="4"/>
  <c r="R44" i="4"/>
  <c r="O44" i="4"/>
  <c r="P44" i="4"/>
  <c r="M44" i="4" a="1"/>
  <c r="M44" i="4" s="1"/>
  <c r="Q44" i="4"/>
  <c r="N44" i="4" a="1"/>
  <c r="N44" i="4" s="1"/>
  <c r="T44" i="4"/>
  <c r="L45" i="4" a="1"/>
  <c r="L45" i="4" s="1"/>
  <c r="K45" i="4" a="1"/>
  <c r="K45" i="4" s="1"/>
  <c r="F45" i="4"/>
  <c r="D45" i="4"/>
  <c r="I45" i="4" s="1" a="1"/>
  <c r="I45" i="4" s="1"/>
  <c r="C47" i="4" a="1"/>
  <c r="C47" i="4" s="1"/>
  <c r="J47" i="4" s="1" a="1"/>
  <c r="J47" i="4" s="1"/>
  <c r="G46" i="4" a="1"/>
  <c r="G46" i="4" s="1"/>
  <c r="E46" i="4" a="1"/>
  <c r="E46" i="4" s="1"/>
  <c r="H46" i="4"/>
  <c r="Z46" i="4" l="1"/>
  <c r="Y46" i="4"/>
  <c r="AD46" i="4"/>
  <c r="AA46" i="4"/>
  <c r="AC46" i="4"/>
  <c r="AB46" i="4"/>
  <c r="U45" i="4"/>
  <c r="X45" i="4"/>
  <c r="V45" i="4"/>
  <c r="W45" i="4"/>
  <c r="L46" i="4" a="1"/>
  <c r="L46" i="4" s="1"/>
  <c r="K46" i="4" a="1"/>
  <c r="K46" i="4" s="1"/>
  <c r="T45" i="4"/>
  <c r="R45" i="4"/>
  <c r="O45" i="4"/>
  <c r="P45" i="4"/>
  <c r="S45" i="4"/>
  <c r="M45" i="4" a="1"/>
  <c r="M45" i="4" s="1"/>
  <c r="Q45" i="4"/>
  <c r="N45" i="4" a="1"/>
  <c r="N45" i="4" s="1"/>
  <c r="D46" i="4"/>
  <c r="I46" i="4" s="1" a="1"/>
  <c r="I46" i="4" s="1"/>
  <c r="F46" i="4"/>
  <c r="C48" i="4" a="1"/>
  <c r="C48" i="4" s="1"/>
  <c r="J48" i="4" s="1" a="1"/>
  <c r="J48" i="4" s="1"/>
  <c r="G47" i="4" a="1"/>
  <c r="G47" i="4" s="1"/>
  <c r="E47" i="4" a="1"/>
  <c r="E47" i="4" s="1"/>
  <c r="H47" i="4"/>
  <c r="AA47" i="4" l="1"/>
  <c r="Y47" i="4"/>
  <c r="Z47" i="4"/>
  <c r="AB47" i="4"/>
  <c r="AD47" i="4"/>
  <c r="AC47" i="4"/>
  <c r="U46" i="4"/>
  <c r="X46" i="4"/>
  <c r="V46" i="4"/>
  <c r="W46" i="4"/>
  <c r="L47" i="4" a="1"/>
  <c r="L47" i="4" s="1"/>
  <c r="K47" i="4" a="1"/>
  <c r="K47" i="4" s="1"/>
  <c r="N46" i="4" a="1"/>
  <c r="N46" i="4" s="1"/>
  <c r="P46" i="4"/>
  <c r="Q46" i="4"/>
  <c r="T46" i="4"/>
  <c r="R46" i="4"/>
  <c r="O46" i="4"/>
  <c r="M46" i="4" a="1"/>
  <c r="M46" i="4" s="1"/>
  <c r="S46" i="4"/>
  <c r="D47" i="4"/>
  <c r="I47" i="4" s="1" a="1"/>
  <c r="I47" i="4" s="1"/>
  <c r="F47" i="4"/>
  <c r="C49" i="4" a="1"/>
  <c r="C49" i="4" s="1"/>
  <c r="G48" i="4" a="1"/>
  <c r="G48" i="4" s="1"/>
  <c r="E48" i="4" a="1"/>
  <c r="E48" i="4" s="1"/>
  <c r="H48" i="4"/>
  <c r="AB48" i="4" l="1"/>
  <c r="AA48" i="4"/>
  <c r="Y48" i="4"/>
  <c r="Z48" i="4"/>
  <c r="AD48" i="4"/>
  <c r="AC48" i="4"/>
  <c r="U47" i="4"/>
  <c r="X47" i="4"/>
  <c r="W47" i="4"/>
  <c r="V47" i="4"/>
  <c r="K48" i="4" a="1"/>
  <c r="K48" i="4" s="1"/>
  <c r="L48" i="4" a="1"/>
  <c r="L48" i="4" s="1"/>
  <c r="Q47" i="4"/>
  <c r="N47" i="4" a="1"/>
  <c r="N47" i="4" s="1"/>
  <c r="M47" i="4" a="1"/>
  <c r="M47" i="4" s="1"/>
  <c r="T47" i="4"/>
  <c r="R47" i="4"/>
  <c r="O47" i="4"/>
  <c r="P47" i="4"/>
  <c r="S47" i="4"/>
  <c r="D48" i="4"/>
  <c r="I48" i="4" s="1" a="1"/>
  <c r="I48" i="4" s="1"/>
  <c r="F48" i="4"/>
  <c r="C50" i="4" a="1"/>
  <c r="C50" i="4" s="1"/>
  <c r="H49" i="4"/>
  <c r="G49" i="4" a="1"/>
  <c r="G49" i="4" s="1"/>
  <c r="E49" i="4" a="1"/>
  <c r="E49" i="4" s="1"/>
  <c r="J49" i="4" a="1"/>
  <c r="J49" i="4" s="1"/>
  <c r="AC49" i="4" l="1"/>
  <c r="AB49" i="4"/>
  <c r="AA49" i="4"/>
  <c r="Y49" i="4"/>
  <c r="Z49" i="4"/>
  <c r="AD49" i="4"/>
  <c r="W48" i="4"/>
  <c r="X48" i="4"/>
  <c r="U48" i="4"/>
  <c r="V48" i="4"/>
  <c r="M48" i="4" a="1"/>
  <c r="M48" i="4" s="1"/>
  <c r="T48" i="4"/>
  <c r="R48" i="4"/>
  <c r="O48" i="4"/>
  <c r="Q48" i="4"/>
  <c r="P48" i="4"/>
  <c r="N48" i="4" a="1"/>
  <c r="N48" i="4" s="1"/>
  <c r="S48" i="4"/>
  <c r="L49" i="4" a="1"/>
  <c r="L49" i="4" s="1"/>
  <c r="K49" i="4" a="1"/>
  <c r="K49" i="4" s="1"/>
  <c r="H50" i="4"/>
  <c r="G50" i="4" a="1"/>
  <c r="G50" i="4" s="1"/>
  <c r="E50" i="4" a="1"/>
  <c r="E50" i="4" s="1"/>
  <c r="J50" i="4" a="1"/>
  <c r="J50" i="4" s="1"/>
  <c r="D49" i="4"/>
  <c r="I49" i="4" s="1" a="1"/>
  <c r="I49" i="4" s="1"/>
  <c r="F49" i="4"/>
  <c r="AD50" i="4" l="1"/>
  <c r="AC50" i="4"/>
  <c r="AB50" i="4"/>
  <c r="Z50" i="4"/>
  <c r="AA50" i="4"/>
  <c r="Y50" i="4"/>
  <c r="W49" i="4"/>
  <c r="U49" i="4"/>
  <c r="V49" i="4"/>
  <c r="X49" i="4"/>
  <c r="S49" i="4"/>
  <c r="N49" i="4" a="1"/>
  <c r="N49" i="4" s="1"/>
  <c r="Q49" i="4"/>
  <c r="M49" i="4" a="1"/>
  <c r="M49" i="4" s="1"/>
  <c r="T49" i="4"/>
  <c r="R49" i="4"/>
  <c r="O49" i="4"/>
  <c r="P49" i="4"/>
  <c r="L50" i="4" a="1"/>
  <c r="L50" i="4" s="1"/>
  <c r="K50" i="4" a="1"/>
  <c r="K50" i="4" s="1"/>
  <c r="F50" i="4"/>
  <c r="D50" i="4"/>
  <c r="I50" i="4" s="1" a="1"/>
  <c r="I50" i="4" s="1"/>
  <c r="V50" i="4" l="1"/>
  <c r="W50" i="4"/>
  <c r="X50" i="4"/>
  <c r="U50" i="4"/>
  <c r="P50" i="4"/>
  <c r="Q50" i="4"/>
  <c r="O50" i="4"/>
  <c r="N50" i="4" a="1"/>
  <c r="N50" i="4" s="1"/>
  <c r="S50" i="4"/>
  <c r="M50" i="4" a="1"/>
  <c r="M50" i="4" s="1"/>
  <c r="T50" i="4"/>
  <c r="R50" i="4"/>
  <c r="Q37" i="3" l="1"/>
  <c r="Q46" i="3" a="1"/>
  <c r="K46" i="3" a="1"/>
  <c r="K46" i="3" l="1"/>
  <c r="L35" i="4" s="1" a="1"/>
  <c r="L35" i="4" s="1"/>
  <c r="Q46" i="3"/>
  <c r="L38" i="4" s="1" a="1"/>
  <c r="L38" i="4" s="1"/>
  <c r="Q7" i="3" l="1"/>
  <c r="Q6" i="3" s="1"/>
  <c r="L36" i="4" a="1"/>
  <c r="L36" i="4" s="1"/>
  <c r="K81" i="5" a="1"/>
  <c r="K81" i="5" s="1"/>
  <c r="P81" i="5" s="1"/>
  <c r="L34" i="4" a="1"/>
  <c r="L34" i="4" s="1"/>
  <c r="K7" i="3"/>
  <c r="K6" i="3" s="1"/>
  <c r="R32" i="4"/>
  <c r="R33" i="4"/>
  <c r="R37" i="4"/>
  <c r="R36" i="4"/>
  <c r="R38" i="4"/>
  <c r="R35" i="4"/>
  <c r="S38" i="4" l="1"/>
  <c r="S37" i="4"/>
  <c r="S36" i="4"/>
  <c r="S35" i="4"/>
  <c r="S32" i="4"/>
  <c r="S33" i="4"/>
  <c r="M81" i="5"/>
  <c r="L81" i="5"/>
  <c r="R81" i="5" s="1"/>
  <c r="R34" i="4"/>
  <c r="U38" i="4"/>
  <c r="S34" i="4" l="1"/>
  <c r="Q81" i="5"/>
  <c r="N81" i="5"/>
  <c r="O81" i="5"/>
  <c r="U32" i="4"/>
  <c r="U33" i="4"/>
  <c r="U34" i="4"/>
  <c r="U37" i="4"/>
  <c r="U36" i="4"/>
  <c r="U35" i="4"/>
  <c r="E12" i="7" l="1"/>
  <c r="W32" i="4"/>
  <c r="W33" i="4"/>
  <c r="W34" i="4"/>
  <c r="W36" i="4"/>
  <c r="W38" i="4"/>
  <c r="W37" i="4"/>
  <c r="W35" i="4"/>
  <c r="X38" i="4" l="1"/>
  <c r="X37" i="4"/>
  <c r="X36" i="4"/>
  <c r="X35" i="4"/>
  <c r="Z24" i="4" s="1"/>
  <c r="I11" i="7"/>
  <c r="G11" i="7" s="1"/>
  <c r="I12" i="7"/>
  <c r="G12" i="7" s="1" a="1"/>
  <c r="G12" i="7" s="1"/>
  <c r="X32" i="4"/>
  <c r="X33" i="4"/>
  <c r="X34" i="4"/>
  <c r="Y22" i="4" s="1"/>
  <c r="I13" i="7"/>
  <c r="G13" i="7" s="1" a="1"/>
  <c r="G13" i="7" s="1"/>
  <c r="F35" i="5" a="1"/>
  <c r="F35" i="5" s="1"/>
  <c r="J37" i="5" l="1" a="1"/>
  <c r="J37" i="5" s="1"/>
  <c r="AJ31" i="4" s="1"/>
  <c r="Y30" i="4"/>
  <c r="Z30" i="4"/>
  <c r="AA31" i="4"/>
  <c r="Y19" i="4"/>
  <c r="AA19" i="4"/>
  <c r="Z31" i="4"/>
  <c r="Z19" i="4"/>
  <c r="AA30" i="4"/>
  <c r="Y31" i="4"/>
  <c r="AA39" i="4"/>
  <c r="Y39" i="4"/>
  <c r="J41" i="5" a="1"/>
  <c r="J41" i="5" s="1"/>
  <c r="AJ35" i="4" s="1"/>
  <c r="Z39" i="4"/>
  <c r="Z38" i="4"/>
  <c r="AA38" i="4"/>
  <c r="Y38" i="4"/>
  <c r="N38" i="5" a="1"/>
  <c r="N38" i="5" s="1"/>
  <c r="Y37" i="4"/>
  <c r="Z37" i="4"/>
  <c r="Z28" i="4"/>
  <c r="J38" i="5" a="1"/>
  <c r="J38" i="5" s="1"/>
  <c r="AJ32" i="4" s="1"/>
  <c r="AA14" i="4"/>
  <c r="Z18" i="4"/>
  <c r="Y25" i="4"/>
  <c r="Y14" i="4"/>
  <c r="Z15" i="4"/>
  <c r="Z16" i="4"/>
  <c r="Y16" i="4"/>
  <c r="AA29" i="4"/>
  <c r="Y29" i="4"/>
  <c r="Z29" i="4"/>
  <c r="AA17" i="4"/>
  <c r="Y18" i="4"/>
  <c r="AA26" i="4"/>
  <c r="Z26" i="4"/>
  <c r="Z17" i="4"/>
  <c r="F37" i="5" a="1"/>
  <c r="F37" i="5" s="1"/>
  <c r="E37" i="5" s="1" a="1"/>
  <c r="E37" i="5" s="1"/>
  <c r="AI18" i="4" s="1"/>
  <c r="Z25" i="4"/>
  <c r="AA36" i="4"/>
  <c r="Z36" i="4"/>
  <c r="Y36" i="4"/>
  <c r="F38" i="5" a="1"/>
  <c r="F38" i="5" s="1"/>
  <c r="E38" i="5" s="1" a="1"/>
  <c r="E38" i="5" s="1"/>
  <c r="AI19" i="4" s="1"/>
  <c r="AA28" i="4"/>
  <c r="Y24" i="4"/>
  <c r="F36" i="5" a="1"/>
  <c r="F36" i="5" s="1"/>
  <c r="E36" i="5" s="1" a="1"/>
  <c r="E36" i="5" s="1"/>
  <c r="AI17" i="4" s="1"/>
  <c r="Z27" i="4"/>
  <c r="J36" i="5" a="1"/>
  <c r="J36" i="5" s="1"/>
  <c r="I36" i="5" s="1" a="1"/>
  <c r="I36" i="5" s="1"/>
  <c r="AI30" i="4" s="1"/>
  <c r="AA24" i="4"/>
  <c r="AB24" i="4" s="1"/>
  <c r="Y17" i="4"/>
  <c r="Z22" i="4"/>
  <c r="AA22" i="4"/>
  <c r="Y27" i="4"/>
  <c r="J39" i="5" a="1"/>
  <c r="J39" i="5" s="1"/>
  <c r="AJ33" i="4" s="1"/>
  <c r="Z14" i="4"/>
  <c r="Y26" i="4"/>
  <c r="AA15" i="4"/>
  <c r="Y23" i="4"/>
  <c r="AA27" i="4"/>
  <c r="J35" i="5" a="1"/>
  <c r="J35" i="5" s="1"/>
  <c r="AJ29" i="4" s="1"/>
  <c r="AA18" i="4"/>
  <c r="AA23" i="4"/>
  <c r="AA25" i="4"/>
  <c r="Z23" i="4"/>
  <c r="Y28" i="4"/>
  <c r="AA16" i="4"/>
  <c r="F39" i="5" a="1"/>
  <c r="F39" i="5" s="1"/>
  <c r="E39" i="5" s="1" a="1"/>
  <c r="E39" i="5" s="1"/>
  <c r="AI20" i="4" s="1"/>
  <c r="Y15" i="4"/>
  <c r="Y34" i="4"/>
  <c r="N35" i="5" a="1"/>
  <c r="N35" i="5" s="1"/>
  <c r="AQ29" i="4" s="1"/>
  <c r="AA32" i="4"/>
  <c r="Z34" i="4"/>
  <c r="Z35" i="4"/>
  <c r="AA34" i="4"/>
  <c r="N36" i="5" a="1"/>
  <c r="N36" i="5" s="1"/>
  <c r="M36" i="5" s="1" a="1"/>
  <c r="M36" i="5" s="1"/>
  <c r="AP30" i="4" s="1"/>
  <c r="AA33" i="4"/>
  <c r="Y33" i="4"/>
  <c r="Z33" i="4"/>
  <c r="AA35" i="4"/>
  <c r="Z32" i="4"/>
  <c r="N41" i="5" a="1"/>
  <c r="N41" i="5" s="1"/>
  <c r="Y32" i="4"/>
  <c r="Y35" i="4"/>
  <c r="N37" i="5" a="1"/>
  <c r="N37" i="5" s="1"/>
  <c r="E35" i="5" a="1"/>
  <c r="E35" i="5" s="1"/>
  <c r="AI16" i="4" s="1"/>
  <c r="AJ16" i="4"/>
  <c r="I37" i="5" l="1" a="1"/>
  <c r="I37" i="5" s="1"/>
  <c r="AI31" i="4" s="1"/>
  <c r="AB31" i="4"/>
  <c r="AB19" i="4"/>
  <c r="AC19" i="4"/>
  <c r="AD19" i="4"/>
  <c r="AD31" i="4"/>
  <c r="AC31" i="4"/>
  <c r="AB30" i="4"/>
  <c r="AC30" i="4"/>
  <c r="AD30" i="4"/>
  <c r="AB39" i="4"/>
  <c r="AC39" i="4"/>
  <c r="AD39" i="4"/>
  <c r="M38" i="5" a="1"/>
  <c r="M38" i="5" s="1"/>
  <c r="AP32" i="4" s="1"/>
  <c r="AQ32" i="4"/>
  <c r="AC38" i="4"/>
  <c r="AD38" i="4"/>
  <c r="AB38" i="4"/>
  <c r="AC37" i="4"/>
  <c r="AD37" i="4"/>
  <c r="AB37" i="4"/>
  <c r="I38" i="5" a="1"/>
  <c r="I38" i="5" s="1"/>
  <c r="AI32" i="4" s="1"/>
  <c r="AD28" i="4"/>
  <c r="E25" i="5"/>
  <c r="E26" i="5" s="1"/>
  <c r="E27" i="5"/>
  <c r="AD25" i="4"/>
  <c r="AB14" i="4"/>
  <c r="AD17" i="4"/>
  <c r="AD26" i="4"/>
  <c r="AB26" i="4"/>
  <c r="AC26" i="4"/>
  <c r="AB17" i="4"/>
  <c r="AC18" i="4"/>
  <c r="AB16" i="4"/>
  <c r="AB15" i="4"/>
  <c r="AJ18" i="4"/>
  <c r="AD29" i="4"/>
  <c r="AC29" i="4"/>
  <c r="AC17" i="4"/>
  <c r="AB29" i="4"/>
  <c r="AB36" i="4"/>
  <c r="AD36" i="4"/>
  <c r="AC36" i="4"/>
  <c r="AJ17" i="4"/>
  <c r="AJ19" i="4"/>
  <c r="AB28" i="4"/>
  <c r="I39" i="5" a="1"/>
  <c r="I39" i="5" s="1"/>
  <c r="AI33" i="4" s="1"/>
  <c r="AC28" i="4"/>
  <c r="AJ30" i="4"/>
  <c r="AB23" i="4"/>
  <c r="AC25" i="4"/>
  <c r="AB25" i="4"/>
  <c r="AC14" i="4"/>
  <c r="AD14" i="4"/>
  <c r="AD15" i="4"/>
  <c r="AB27" i="4"/>
  <c r="AD23" i="4"/>
  <c r="AD22" i="4"/>
  <c r="AD16" i="4"/>
  <c r="AC16" i="4"/>
  <c r="AC15" i="4"/>
  <c r="AC24" i="4"/>
  <c r="AD18" i="4"/>
  <c r="AD24" i="4"/>
  <c r="AC23" i="4"/>
  <c r="AB18" i="4"/>
  <c r="AB22" i="4"/>
  <c r="F40" i="5"/>
  <c r="E40" i="5" s="1"/>
  <c r="AI21" i="4" s="1"/>
  <c r="AC27" i="4"/>
  <c r="AC22" i="4"/>
  <c r="J40" i="5"/>
  <c r="I40" i="5" s="1"/>
  <c r="AI34" i="4" s="1"/>
  <c r="AD27" i="4"/>
  <c r="I35" i="5" a="1"/>
  <c r="I35" i="5" s="1"/>
  <c r="AI29" i="4" s="1"/>
  <c r="AJ20" i="4"/>
  <c r="M35" i="5" a="1"/>
  <c r="M35" i="5" s="1"/>
  <c r="AP29" i="4" s="1"/>
  <c r="AC34" i="4"/>
  <c r="AQ30" i="4"/>
  <c r="AB33" i="4"/>
  <c r="AD32" i="4"/>
  <c r="AB35" i="4"/>
  <c r="AD33" i="4"/>
  <c r="AD34" i="4"/>
  <c r="AC32" i="4"/>
  <c r="AB32" i="4"/>
  <c r="AC35" i="4"/>
  <c r="AD35" i="4"/>
  <c r="AB34" i="4"/>
  <c r="AC33" i="4"/>
  <c r="AQ35" i="4"/>
  <c r="N40" i="5"/>
  <c r="M40" i="5" s="1"/>
  <c r="AP34" i="4" s="1"/>
  <c r="AQ31" i="4"/>
  <c r="M37" i="5" a="1"/>
  <c r="M37" i="5" s="1"/>
  <c r="AP31" i="4" s="1"/>
  <c r="AE19" i="4" l="1"/>
  <c r="AJ21" i="4"/>
  <c r="AJ34" i="4"/>
  <c r="AQ34" i="4"/>
  <c r="N6" i="7"/>
  <c r="O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tc={20B5F35F-A397-4928-A6BB-7A53AE140E9A}</author>
  </authors>
  <commentList>
    <comment ref="B6" authorId="0" shapeId="0" xr:uid="{20B5F35F-A397-4928-A6BB-7A53AE140E9A}">
      <text>
        <t>[Threaded comment]
Your version of Excel allows you to read this threaded comment; however, any edits to it will get removed if the file is opened in a newer version of Excel. Learn more: https://go.microsoft.com/fwlink/?linkid=870924
Comment:
    Tax loss harvest vehicle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<sst xmlns="http://schemas.openxmlformats.org/spreadsheetml/2006/main" count="2687" uniqueCount="425">
  <si>
    <t>Settings</t>
  </si>
  <si>
    <t>General</t>
  </si>
  <si>
    <t>Starting Year:</t>
  </si>
  <si>
    <t>Set the starting year (yyyy) only once at the beginning of each year</t>
  </si>
  <si>
    <r>
      <t xml:space="preserve">Define starting year in Settings </t>
    </r>
    <r>
      <rPr>
        <sz val="9"/>
        <color theme="2" tint="-9.9978637043366805E-2"/>
        <rFont val="Aptos Narrow"/>
        <family val="2"/>
      </rPr>
      <t>→</t>
    </r>
  </si>
  <si>
    <t>Income</t>
  </si>
  <si>
    <t>Enter Income Category…</t>
  </si>
  <si>
    <t>Total</t>
  </si>
  <si>
    <t>Budget Planning</t>
  </si>
  <si>
    <t>Expenses</t>
  </si>
  <si>
    <t>Food</t>
  </si>
  <si>
    <t>Groceries</t>
  </si>
  <si>
    <t>Media</t>
  </si>
  <si>
    <t>Enter Expenses Category…</t>
  </si>
  <si>
    <t>Savings</t>
  </si>
  <si>
    <t>Enter Savings Category…</t>
  </si>
  <si>
    <t>To be allocated:</t>
  </si>
  <si>
    <t>Budget Tracking</t>
  </si>
  <si>
    <t>Date</t>
  </si>
  <si>
    <t>Type</t>
  </si>
  <si>
    <t>Category</t>
  </si>
  <si>
    <t>Amount</t>
  </si>
  <si>
    <t>Details</t>
  </si>
  <si>
    <t>Balance</t>
  </si>
  <si>
    <t>Effective Date</t>
  </si>
  <si>
    <t>Budget Tracking &amp; Dashboard</t>
  </si>
  <si>
    <t>Late Monthly Income</t>
  </si>
  <si>
    <t>Shift late income:</t>
  </si>
  <si>
    <t>Starting on day x in month:</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</si>
  <si>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</si>
  <si>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Calculations</t>
  </si>
  <si>
    <t>Worksheet: Budget Tracking</t>
  </si>
  <si>
    <t>Today:</t>
  </si>
  <si>
    <t>Last Record:</t>
  </si>
  <si>
    <t>Delta Last Record:</t>
  </si>
  <si>
    <t># of Records:</t>
  </si>
  <si>
    <t># of Records this year:</t>
  </si>
  <si>
    <t>Tracking Balance:</t>
  </si>
  <si>
    <t>Balance Analysis Text:</t>
  </si>
  <si>
    <t>Budget Dashboard</t>
  </si>
  <si>
    <t>Year</t>
  </si>
  <si>
    <r>
      <t xml:space="preserve">Select the year to view </t>
    </r>
    <r>
      <rPr>
        <i/>
        <sz val="9"/>
        <color theme="0" tint="-0.34998626667073579"/>
        <rFont val="Aptos Narrow"/>
        <family val="2"/>
      </rPr>
      <t>→</t>
    </r>
  </si>
  <si>
    <t>Period</t>
  </si>
  <si>
    <r>
      <t xml:space="preserve">Select the period to view </t>
    </r>
    <r>
      <rPr>
        <i/>
        <sz val="9"/>
        <color theme="0" tint="-0.34998626667073579"/>
        <rFont val="Aptos Narrow"/>
        <family val="2"/>
      </rPr>
      <t>→</t>
    </r>
  </si>
  <si>
    <t>Dropdown Data</t>
  </si>
  <si>
    <t>Year Dropdown</t>
  </si>
  <si>
    <t>Current Year</t>
  </si>
  <si>
    <t>Period Dropdown</t>
  </si>
  <si>
    <t>Total Year</t>
  </si>
  <si>
    <t>Current Month</t>
  </si>
  <si>
    <t>Selected Year:</t>
  </si>
  <si>
    <t>Selected Period:</t>
  </si>
  <si>
    <t>Selected Period (Display):</t>
  </si>
  <si>
    <t>row_id</t>
  </si>
  <si>
    <t>header_row_id</t>
  </si>
  <si>
    <t>is_header</t>
  </si>
  <si>
    <t>is_category</t>
  </si>
  <si>
    <t>is_empty</t>
  </si>
  <si>
    <t>type</t>
  </si>
  <si>
    <t>item</t>
  </si>
  <si>
    <t>tracked</t>
  </si>
  <si>
    <t>budget</t>
  </si>
  <si>
    <t>is_total</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</si>
  <si>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</si>
  <si>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</si>
  <si>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</si>
  <si>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</si>
  <si>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</si>
  <si>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</si>
  <si>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</si>
  <si>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</si>
  <si>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</si>
  <si>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</si>
  <si>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</si>
  <si>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</si>
  <si>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r>
      <rPr>
        <b/>
        <sz val="11"/>
        <color theme="7"/>
        <rFont val="Calibri"/>
        <family val="2"/>
      </rPr>
      <t>Chart Calculations</t>
    </r>
    <r>
      <rPr>
        <sz val="11"/>
        <color theme="7"/>
        <rFont val="Calibri"/>
        <family val="2"/>
      </rPr>
      <t>, Category Distribution Charts</t>
    </r>
  </si>
  <si>
    <r>
      <rPr>
        <b/>
        <sz val="11"/>
        <color theme="7"/>
        <rFont val="Calibri"/>
        <family val="2"/>
      </rPr>
      <t>Chart Calculations</t>
    </r>
    <r>
      <rPr>
        <sz val="11"/>
        <color theme="7"/>
        <rFont val="Calibri"/>
        <family val="2"/>
      </rPr>
      <t>, Tracked (vs. Budget) Chart</t>
    </r>
  </si>
  <si>
    <t>Month</t>
  </si>
  <si>
    <t>Month Num.</t>
  </si>
  <si>
    <t>In Focus</t>
  </si>
  <si>
    <t>Show Type</t>
  </si>
  <si>
    <t>Show Rem. Budget</t>
  </si>
  <si>
    <t>Tracked</t>
  </si>
  <si>
    <t>Budget</t>
  </si>
  <si>
    <t>Delta</t>
  </si>
  <si>
    <t>Period in Focus</t>
  </si>
  <si>
    <t>In Budget</t>
  </si>
  <si>
    <t>Remaining</t>
  </si>
  <si>
    <t>Excess</t>
  </si>
  <si>
    <t>Period not in Focus</t>
  </si>
  <si>
    <t>`</t>
  </si>
  <si>
    <t>Show Income:</t>
  </si>
  <si>
    <t>Show Expenses:</t>
  </si>
  <si>
    <t>Show Savings:</t>
  </si>
  <si>
    <t>Show Rem. Budget:</t>
  </si>
  <si>
    <t>Days in Period:</t>
  </si>
  <si>
    <t>Days passed in Period:</t>
  </si>
  <si>
    <t>Days passed in Period %:</t>
  </si>
  <si>
    <t>Period Tracking Balance:</t>
  </si>
  <si>
    <t>Period Savings Rate:</t>
  </si>
  <si>
    <t>KPI Calculation in Dashboard</t>
  </si>
  <si>
    <t>Savings Rate as % of Income:</t>
  </si>
  <si>
    <t>Choose how you want the savings rate (SR) to be calculated in the dashboard KPI tiles:
1) Active Option (% allocated to Savings):                           SR = Savings/ Income
2) Passive Option(% not allocated to Expenses):                SR= (Income - Expenses) / Income</t>
  </si>
  <si>
    <t xml:space="preserve">Employment </t>
  </si>
  <si>
    <t>Bond Coupons / Savings Interest</t>
  </si>
  <si>
    <t>Side Hustle</t>
  </si>
  <si>
    <t>Coca Cola Dividends</t>
  </si>
  <si>
    <t>Schwab Dividends</t>
  </si>
  <si>
    <t>Anna misc.</t>
  </si>
  <si>
    <t>Bond Account</t>
  </si>
  <si>
    <t>High Yield Savings</t>
  </si>
  <si>
    <t>Miscellaneous</t>
  </si>
  <si>
    <t>Active</t>
  </si>
  <si>
    <t>Flowers</t>
  </si>
  <si>
    <t>Haircut from Ely</t>
  </si>
  <si>
    <t>Dinner with Aaron and Elaina</t>
  </si>
  <si>
    <t>Girl scout cookies</t>
  </si>
  <si>
    <t>Valentine's stuff</t>
  </si>
  <si>
    <t>7 Brew</t>
  </si>
  <si>
    <t>Trash bags</t>
  </si>
  <si>
    <t>Sushi</t>
  </si>
  <si>
    <t xml:space="preserve">Candle </t>
  </si>
  <si>
    <t>Crawfish shirt</t>
  </si>
  <si>
    <t>Concert tickets</t>
  </si>
  <si>
    <t>Board game</t>
  </si>
  <si>
    <t>Parking</t>
  </si>
  <si>
    <t>Anna's gifts</t>
  </si>
  <si>
    <t>Mirror</t>
  </si>
  <si>
    <t>Date night</t>
  </si>
  <si>
    <t>Camping &amp; put put</t>
  </si>
  <si>
    <t>Pirahna</t>
  </si>
  <si>
    <t>Getting my bike back</t>
  </si>
  <si>
    <t>Side Hustle Expenses</t>
  </si>
  <si>
    <t>Movie night</t>
  </si>
  <si>
    <t>Delta date night</t>
  </si>
  <si>
    <t>Checking</t>
  </si>
  <si>
    <t>High-Yield Savings</t>
  </si>
  <si>
    <t>Cash &amp; Cash Equivalents</t>
  </si>
  <si>
    <t>Cash Amount</t>
  </si>
  <si>
    <t>Cash Accounts</t>
  </si>
  <si>
    <t>Total Amount</t>
  </si>
  <si>
    <t>Totals (Actual)</t>
  </si>
  <si>
    <t>Bond account fee</t>
  </si>
  <si>
    <t>Coveralls</t>
  </si>
  <si>
    <t>Olive garden</t>
  </si>
  <si>
    <t>Braums</t>
  </si>
  <si>
    <t>OZSC</t>
  </si>
  <si>
    <t>Cash from Carson</t>
  </si>
  <si>
    <t>Treat for Anna</t>
  </si>
  <si>
    <t>Donuts</t>
  </si>
  <si>
    <t>IAU</t>
  </si>
  <si>
    <t>Registry gift</t>
  </si>
  <si>
    <t>Thrifting</t>
  </si>
  <si>
    <t>Veja shoes</t>
  </si>
  <si>
    <t>Brunch</t>
  </si>
  <si>
    <t>Bday dinner</t>
  </si>
  <si>
    <t>Party stuff</t>
  </si>
  <si>
    <t>Schwab</t>
  </si>
  <si>
    <t>Motor oil</t>
  </si>
  <si>
    <t>Oil change</t>
  </si>
  <si>
    <t>Rock climbing</t>
  </si>
  <si>
    <t>braums</t>
  </si>
  <si>
    <t>Last lunch</t>
  </si>
  <si>
    <t>topgolf</t>
  </si>
  <si>
    <t>hunky's</t>
  </si>
  <si>
    <t>Mcalisters</t>
  </si>
  <si>
    <t>Rock Climbing</t>
  </si>
  <si>
    <t>Rock climbing membership + chalk</t>
  </si>
  <si>
    <t>Chalk ball</t>
  </si>
  <si>
    <t xml:space="preserve">Haircut </t>
  </si>
  <si>
    <t>ATM Fee</t>
  </si>
  <si>
    <t>Torchy's</t>
  </si>
  <si>
    <t>Gatorade</t>
  </si>
  <si>
    <t>Whataburger</t>
  </si>
  <si>
    <t>QT</t>
  </si>
  <si>
    <t>Last grounds paycheck</t>
  </si>
  <si>
    <t>Switch</t>
  </si>
  <si>
    <t>Starbucks</t>
  </si>
  <si>
    <t>Sam's</t>
  </si>
  <si>
    <t>First Airbus paycheck</t>
  </si>
  <si>
    <t>Waffle house</t>
  </si>
  <si>
    <t>Black tux</t>
  </si>
  <si>
    <t>Book</t>
  </si>
  <si>
    <t>Cinemark</t>
  </si>
  <si>
    <t>Firehouse</t>
  </si>
  <si>
    <t>Climbing juice</t>
  </si>
  <si>
    <t>Movie</t>
  </si>
  <si>
    <t>World Index</t>
  </si>
  <si>
    <t>U.S. Indices</t>
  </si>
  <si>
    <t>Crypto</t>
  </si>
  <si>
    <t>Cryptocurrency</t>
  </si>
  <si>
    <t>Crypto Amount</t>
  </si>
  <si>
    <t>Bitcoin</t>
  </si>
  <si>
    <t>Investment</t>
  </si>
  <si>
    <t>Investment Amount</t>
  </si>
  <si>
    <t>Inv. %</t>
  </si>
  <si>
    <t>Cash</t>
  </si>
  <si>
    <t>Date day</t>
  </si>
  <si>
    <t>Audible book</t>
  </si>
  <si>
    <t>U.S. Market</t>
  </si>
  <si>
    <t>U.S. Markets</t>
  </si>
  <si>
    <t>VT</t>
  </si>
  <si>
    <t>U.S. Amount</t>
  </si>
  <si>
    <t>Concert</t>
  </si>
  <si>
    <t>Capitilization</t>
  </si>
  <si>
    <t>Value</t>
  </si>
  <si>
    <t>Blend</t>
  </si>
  <si>
    <t>Growth</t>
  </si>
  <si>
    <t>Large</t>
  </si>
  <si>
    <t>Mid</t>
  </si>
  <si>
    <t>Small</t>
  </si>
  <si>
    <t>VT Composition</t>
  </si>
  <si>
    <t>VOO Composition</t>
  </si>
  <si>
    <t>VB Composition</t>
  </si>
  <si>
    <t>VB</t>
  </si>
  <si>
    <t>World Indices</t>
  </si>
  <si>
    <t>Index Amount</t>
  </si>
  <si>
    <t>Homegoods</t>
  </si>
  <si>
    <t>Coldstone</t>
  </si>
  <si>
    <t>Sonic</t>
  </si>
  <si>
    <t>Shoes</t>
  </si>
  <si>
    <t>Panda</t>
  </si>
  <si>
    <t>Raising canes</t>
  </si>
  <si>
    <t>Switch and something else</t>
  </si>
  <si>
    <t>Andy's</t>
  </si>
  <si>
    <t>Ice for Carson's</t>
  </si>
  <si>
    <t>Difference from Optimal</t>
  </si>
  <si>
    <t>Walmart</t>
  </si>
  <si>
    <t>S&amp;P 500</t>
  </si>
  <si>
    <t>Optimal</t>
  </si>
  <si>
    <t>Percentage of U.S. in VT</t>
  </si>
  <si>
    <t>Bachelor Trip Housing</t>
  </si>
  <si>
    <t>Red bull</t>
  </si>
  <si>
    <t>Haircut cash</t>
  </si>
  <si>
    <t>Chalk</t>
  </si>
  <si>
    <t>VXUS</t>
  </si>
  <si>
    <t>Bachelor Trip</t>
  </si>
  <si>
    <t>Bucees</t>
  </si>
  <si>
    <t>Steam</t>
  </si>
  <si>
    <t>Country Café</t>
  </si>
  <si>
    <t>Loco Burro</t>
  </si>
  <si>
    <t>Put put</t>
  </si>
  <si>
    <t>Pizza</t>
  </si>
  <si>
    <t>Paula Deen</t>
  </si>
  <si>
    <t>Central BBQ</t>
  </si>
  <si>
    <t>Howard's</t>
  </si>
  <si>
    <t>Krispy Kreme</t>
  </si>
  <si>
    <t>See Bears</t>
  </si>
  <si>
    <t>Panera</t>
  </si>
  <si>
    <t>Canes</t>
  </si>
  <si>
    <t>Chilis</t>
  </si>
  <si>
    <t>Piranha</t>
  </si>
  <si>
    <t>Guana</t>
  </si>
  <si>
    <t>ATM withdrawal</t>
  </si>
  <si>
    <t>ATM fee</t>
  </si>
  <si>
    <t>Braum's</t>
  </si>
  <si>
    <t>Farming sim</t>
  </si>
  <si>
    <t>7 brew</t>
  </si>
  <si>
    <t>Amazon</t>
  </si>
  <si>
    <t>Mcdonalds</t>
  </si>
  <si>
    <t>Waffle House</t>
  </si>
  <si>
    <t>Stuffed animal</t>
  </si>
  <si>
    <t>Gas stops</t>
  </si>
  <si>
    <t>% allocated to Savings</t>
  </si>
  <si>
    <t>Paka Sweatshirt</t>
  </si>
  <si>
    <t>Polo watch</t>
  </si>
  <si>
    <t>VPN</t>
  </si>
  <si>
    <t>Venmo</t>
  </si>
  <si>
    <t>Camping</t>
  </si>
  <si>
    <t>Spring creek</t>
  </si>
  <si>
    <t>Wallmart</t>
  </si>
  <si>
    <t>Chic</t>
  </si>
  <si>
    <t>Taco Bell</t>
  </si>
  <si>
    <t>Sam's Pizza</t>
  </si>
  <si>
    <t>Target</t>
  </si>
  <si>
    <t>Haircut</t>
  </si>
  <si>
    <t>Texas Roadhouse</t>
  </si>
  <si>
    <t>Coffeehouse</t>
  </si>
  <si>
    <t>Norton VPN</t>
  </si>
  <si>
    <t>Boo Basket</t>
  </si>
  <si>
    <t>Wedding</t>
  </si>
  <si>
    <t>Formal dinner</t>
  </si>
  <si>
    <t>Revelers Hall</t>
  </si>
  <si>
    <t>Fuentes</t>
  </si>
  <si>
    <t>Smock</t>
  </si>
  <si>
    <t>Mom's Christmas</t>
  </si>
  <si>
    <t>Christmas Party</t>
  </si>
  <si>
    <t>303 Donuts</t>
  </si>
  <si>
    <t>Roasters</t>
  </si>
  <si>
    <t>Audible</t>
  </si>
  <si>
    <t>Popshelf</t>
  </si>
  <si>
    <t>Ton's</t>
  </si>
  <si>
    <t>Flight</t>
  </si>
  <si>
    <t>Present</t>
  </si>
  <si>
    <t>mcdonalds</t>
  </si>
  <si>
    <t>Babe's</t>
  </si>
  <si>
    <t>Walking pad</t>
  </si>
  <si>
    <t>Haircut atm</t>
  </si>
  <si>
    <t>Books</t>
  </si>
  <si>
    <t>Pens</t>
  </si>
  <si>
    <t>Culvers</t>
  </si>
  <si>
    <t>Dad's Preesent</t>
  </si>
  <si>
    <t>Coat</t>
  </si>
  <si>
    <t>Big Tony's</t>
  </si>
  <si>
    <t>Chipotle</t>
  </si>
  <si>
    <t>Drip Coffee</t>
  </si>
  <si>
    <t>Gabe's Birthday</t>
  </si>
  <si>
    <t>Pacsun</t>
  </si>
  <si>
    <t>Half price books</t>
  </si>
  <si>
    <t>Textbook</t>
  </si>
  <si>
    <t>Torchys</t>
  </si>
  <si>
    <t>French press</t>
  </si>
  <si>
    <t>Wapo?</t>
  </si>
  <si>
    <t>RING and phone</t>
  </si>
  <si>
    <t>Sweet frog</t>
  </si>
  <si>
    <t>Valentine's</t>
  </si>
  <si>
    <t>Nails</t>
  </si>
  <si>
    <t>At fault</t>
  </si>
  <si>
    <t>Trips/Outings</t>
  </si>
  <si>
    <t>Ring</t>
  </si>
  <si>
    <t>Jam + Toast</t>
  </si>
  <si>
    <t>Smoothie King</t>
  </si>
  <si>
    <t>Gift card for sponsors</t>
  </si>
  <si>
    <t>Rugby Shirt</t>
  </si>
  <si>
    <t>Roth IRA</t>
  </si>
  <si>
    <t>Taco bell</t>
  </si>
  <si>
    <t>Goal:</t>
  </si>
  <si>
    <t>Amount:</t>
  </si>
  <si>
    <t>Emergency Nest</t>
  </si>
  <si>
    <t>Ihop</t>
  </si>
  <si>
    <t>In n out</t>
  </si>
  <si>
    <t>Seven brew</t>
  </si>
  <si>
    <t>CPAC</t>
  </si>
  <si>
    <t>Washington Post</t>
  </si>
  <si>
    <t>Tax Refund</t>
  </si>
  <si>
    <t>Ring box</t>
  </si>
  <si>
    <t>Honeymoon</t>
  </si>
  <si>
    <t>Frames</t>
  </si>
  <si>
    <t>Texas roadhouse</t>
  </si>
  <si>
    <t>Pickle ball paddles</t>
  </si>
  <si>
    <t>Tau cash cover</t>
  </si>
  <si>
    <t>Gift for william</t>
  </si>
  <si>
    <t>Tutoring</t>
  </si>
  <si>
    <t>Water</t>
  </si>
  <si>
    <t>Andys</t>
  </si>
  <si>
    <t>Black top grill</t>
  </si>
  <si>
    <t>Easter</t>
  </si>
  <si>
    <t>Ice cream</t>
  </si>
  <si>
    <t>NJF</t>
  </si>
  <si>
    <t>Total Saved:</t>
  </si>
  <si>
    <t>Left to Allocate:</t>
  </si>
  <si>
    <t>Golf ranch</t>
  </si>
  <si>
    <t>Donut</t>
  </si>
  <si>
    <t>Coffee</t>
  </si>
  <si>
    <t>Golf</t>
  </si>
  <si>
    <t>Dog stuff</t>
  </si>
  <si>
    <t>Coffeehose</t>
  </si>
  <si>
    <t>Tool</t>
  </si>
  <si>
    <t>Paring</t>
  </si>
  <si>
    <t>Union</t>
  </si>
  <si>
    <t>coffee</t>
  </si>
  <si>
    <t>Watches</t>
  </si>
  <si>
    <t>Dog bath</t>
  </si>
  <si>
    <t>Semi formal</t>
  </si>
  <si>
    <t>Taco</t>
  </si>
  <si>
    <t>Flight tickets</t>
  </si>
  <si>
    <t>First watch</t>
  </si>
  <si>
    <t>Sunglasses</t>
  </si>
  <si>
    <t>Golf clubs</t>
  </si>
  <si>
    <t>?</t>
  </si>
  <si>
    <t>Potbelly's</t>
  </si>
  <si>
    <t>Coho</t>
  </si>
  <si>
    <t>Frozen yogurt</t>
  </si>
  <si>
    <t>Gift</t>
  </si>
  <si>
    <t>Mamaka</t>
  </si>
  <si>
    <t>Screws</t>
  </si>
  <si>
    <t>Portillos</t>
  </si>
  <si>
    <t>Apple pen</t>
  </si>
  <si>
    <t>Hat</t>
  </si>
  <si>
    <t>Chick-fil-A</t>
  </si>
  <si>
    <t>Claude.ai Subscription</t>
  </si>
  <si>
    <t>Shopping</t>
  </si>
  <si>
    <t>The Washington Post</t>
  </si>
  <si>
    <t>Rockledge Pa Flower</t>
  </si>
  <si>
    <t>Buc-ee's</t>
  </si>
  <si>
    <t>7 Brew Coffee</t>
  </si>
  <si>
    <t>Sunday Namo</t>
  </si>
  <si>
    <t>Trader Joe's</t>
  </si>
  <si>
    <t>Van Leeuwen Ice Cream</t>
  </si>
  <si>
    <t>Violet Crown</t>
  </si>
  <si>
    <t>Anthropic (Claude.ai)</t>
  </si>
  <si>
    <t>Golf Ranch Grand Prairie</t>
  </si>
  <si>
    <t>Prairie Lakes</t>
  </si>
  <si>
    <t>McAlister's Deli</t>
  </si>
  <si>
    <t>GoDaddy</t>
  </si>
  <si>
    <t>In-N-Out Burger</t>
  </si>
  <si>
    <t>Crowns Bar B Que</t>
  </si>
  <si>
    <t>Amk Dbu Union Co</t>
  </si>
  <si>
    <t>Topgolf</t>
  </si>
  <si>
    <t>Mercado Juarez</t>
  </si>
  <si>
    <t>Ticketscentr Wic</t>
  </si>
  <si>
    <t>Potbelly</t>
  </si>
  <si>
    <t>KFC</t>
  </si>
  <si>
    <t>Village Burger</t>
  </si>
  <si>
    <t>muay thai</t>
  </si>
  <si>
    <t>Zelle</t>
  </si>
  <si>
    <t>Airbus Payroll</t>
  </si>
  <si>
    <t>Topgolf Bay Reservation</t>
  </si>
  <si>
    <t>Violet Crown Bar</t>
  </si>
  <si>
    <t>Violet Crown Cinema</t>
  </si>
  <si>
    <t>Elements Studio</t>
  </si>
  <si>
    <t>Sip Stir Coffee</t>
  </si>
  <si>
    <t>7-Eleven</t>
  </si>
  <si>
    <t>Netflix</t>
  </si>
  <si>
    <t>Vending Machine</t>
  </si>
  <si>
    <t>River Lakes Ranch</t>
  </si>
  <si>
    <t>Buena Vista Golf</t>
  </si>
  <si>
    <t>membership</t>
  </si>
  <si>
    <t>Enos pizza</t>
  </si>
  <si>
    <t>Gifts</t>
  </si>
  <si>
    <t>Water Still</t>
  </si>
  <si>
    <t>McDonald's</t>
  </si>
  <si>
    <t>Recreation.gov</t>
  </si>
  <si>
    <t>Foxtrot Market</t>
  </si>
  <si>
    <t>Kroger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</si>
</sst>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
    <numFmt numFmtId="165" formatCode="_(&quot;$&quot;* #,##0_);_(&quot;$&quot;* \(#,##0\);_(&quot;$&quot;* &quot;-&quot;??_);_(@_)"/>
    <numFmt numFmtId="166" formatCode="mmmm"/>
    <numFmt numFmtId="167" formatCode="_(* #,##0_);_(* \(#,##0\);_(* &quot;-&quot;??_);_(@_)"/>
    <numFmt numFmtId="168" formatCode="_(* #,##0.00_);_(* \(#,##0.00\);_(* &quot;-&quot;_);_(@_)"/>
    <numFmt numFmtId="169" formatCode="0.0%"/>
  </numFmts>
  <fonts count="45" x14ac:knownFonts="1">
    <font>
      <sz val="11"/>
      <color theme="1"/>
      <name val="Aptos Narrow"/>
      <family val="2"/>
      <scheme val="minor"/>
    </font>
    <font>
      <sz val="11"/>
      <color theme="1"/>
      <name val="Calibri"/>
      <family val="2"/>
    </font>
    <font>
      <sz val="11"/>
      <color theme="0"/>
      <name val="Calibri"/>
      <family val="2"/>
    </font>
    <font>
      <sz val="16"/>
      <color theme="0"/>
      <name val="Calibri"/>
      <family val="2"/>
    </font>
    <font>
      <b/>
      <sz val="26"/>
      <color theme="0"/>
      <name val="Calibri"/>
      <family val="2"/>
    </font>
    <font>
      <b/>
      <sz val="11"/>
      <color theme="1"/>
      <name val="Calibri"/>
      <family val="2"/>
    </font>
    <font>
      <b/>
      <sz val="11"/>
      <color theme="0"/>
      <name val="Calibri"/>
      <family val="2"/>
    </font>
    <font>
      <sz val="10"/>
      <color theme="1"/>
      <name val="Calibri"/>
      <family val="2"/>
    </font>
    <font>
      <b/>
      <sz val="11"/>
      <name val="Calibri"/>
      <family val="2"/>
    </font>
    <font>
      <sz val="11"/>
      <name val="Calibri"/>
      <family val="2"/>
    </font>
    <font>
      <sz val="10"/>
      <name val="Calibri"/>
      <family val="2"/>
    </font>
    <font>
      <i/>
      <sz val="9"/>
      <color theme="0" tint="-0.499984740745262"/>
      <name val="Calibri"/>
      <family val="2"/>
    </font>
    <font>
      <i/>
      <sz val="9"/>
      <color theme="2" tint="-9.9978637043366805E-2"/>
      <name val="Calibri"/>
      <family val="2"/>
    </font>
    <font>
      <sz val="9"/>
      <color theme="2" tint="-9.9978637043366805E-2"/>
      <name val="Aptos Narrow"/>
      <family val="2"/>
    </font>
    <font>
      <b/>
      <sz val="10"/>
      <color theme="0"/>
      <name val="Calibri"/>
      <family val="2"/>
    </font>
    <font>
      <sz val="8"/>
      <name val="Aptos Narrow"/>
      <family val="2"/>
      <scheme val="minor"/>
    </font>
    <font>
      <sz val="10"/>
      <color theme="0" tint="-0.34998626667073579"/>
      <name val="Calibri"/>
      <family val="2"/>
    </font>
    <font>
      <sz val="11"/>
      <color theme="0" tint="-0.34998626667073579"/>
      <name val="Calibri"/>
      <family val="2"/>
    </font>
    <font>
      <b/>
      <sz val="11"/>
      <color theme="0" tint="-0.34998626667073579"/>
      <name val="Calibri"/>
      <family val="2"/>
    </font>
    <font>
      <i/>
      <sz val="11"/>
      <color theme="1"/>
      <name val="Calibri"/>
      <family val="2"/>
    </font>
    <font>
      <sz val="9"/>
      <name val="Calibri"/>
      <family val="2"/>
    </font>
    <font>
      <b/>
      <sz val="9"/>
      <name val="Calibri"/>
      <family val="2"/>
    </font>
    <font>
      <b/>
      <sz val="10"/>
      <name val="Calibri"/>
      <family val="2"/>
    </font>
    <font>
      <sz val="11"/>
      <color theme="1"/>
      <name val="Aptos Narrow"/>
      <family val="2"/>
      <scheme val="minor"/>
    </font>
    <font>
      <sz val="10"/>
      <color theme="0" tint="-0.499984740745262"/>
      <name val="Calibri"/>
      <family val="2"/>
    </font>
    <font>
      <sz val="11"/>
      <color theme="0" tint="-0.499984740745262"/>
      <name val="Calibri"/>
      <family val="2"/>
    </font>
    <font>
      <b/>
      <sz val="11"/>
      <color rgb="FF6600FF"/>
      <name val="Calibri"/>
      <family val="2"/>
    </font>
    <font>
      <sz val="10"/>
      <color theme="0" tint="-0.14999847407452621"/>
      <name val="Calibri"/>
      <family val="2"/>
    </font>
    <font>
      <b/>
      <sz val="24"/>
      <color theme="1"/>
      <name val="Calibri"/>
      <family val="2"/>
    </font>
    <font>
      <b/>
      <sz val="9"/>
      <color theme="0"/>
      <name val="Calibri"/>
      <family val="2"/>
    </font>
    <font>
      <i/>
      <sz val="9"/>
      <color theme="0" tint="-0.34998626667073579"/>
      <name val="Calibri"/>
      <family val="2"/>
    </font>
    <font>
      <i/>
      <sz val="9"/>
      <color theme="0" tint="-0.34998626667073579"/>
      <name val="Aptos Narrow"/>
      <family val="2"/>
    </font>
    <font>
      <sz val="8"/>
      <color theme="1"/>
      <name val="Calibri"/>
      <family val="2"/>
    </font>
    <font>
      <sz val="10.5"/>
      <color theme="1"/>
      <name val="Calibri"/>
      <family val="2"/>
    </font>
    <font>
      <sz val="11"/>
      <color theme="7"/>
      <name val="Calibri"/>
      <family val="2"/>
    </font>
    <font>
      <b/>
      <sz val="11"/>
      <color theme="7"/>
      <name val="Calibri"/>
      <family val="2"/>
    </font>
    <font>
      <sz val="9"/>
      <color theme="1"/>
      <name val="Calibri"/>
      <family val="2"/>
    </font>
    <font>
      <b/>
      <sz val="9"/>
      <color theme="1"/>
      <name val="Calibri"/>
      <family val="2"/>
    </font>
    <font>
      <b/>
      <sz val="10"/>
      <color theme="1"/>
      <name val="Calibri"/>
      <family val="2"/>
    </font>
    <font>
      <i/>
      <sz val="11"/>
      <color theme="0" tint="-0.499984740745262"/>
      <name val="Calibri"/>
      <family val="2"/>
    </font>
    <font>
      <sz val="8"/>
      <color rgb="FF000000"/>
      <name val="Segoe UI"/>
      <family val="2"/>
    </font>
    <font>
      <b/>
      <sz val="11"/>
      <color theme="1"/>
      <name val="Aptos Narrow"/>
      <family val="2"/>
      <scheme val="minor"/>
    </font>
    <font>
      <b/>
      <sz val="12"/>
      <color theme="1"/>
      <name val="Aptos Narrow"/>
      <family val="2"/>
      <scheme val="minor"/>
    </font>
    <font>
      <b/>
      <u/>
      <sz val="11"/>
      <color theme="1"/>
      <name val="Aptos Narrow"/>
      <family val="2"/>
      <scheme val="minor"/>
    </font>
    <font>
      <sz val="12"/>
      <color theme="1"/>
      <name val="Aptos Narrow"/>
      <family val="2"/>
      <scheme val="minor"/>
    </font>
  </fonts>
  <fills count="14">
    <fill>
      <patternFill patternType="none"/>
    </fill>
    <fill>
      <patternFill patternType="gray125"/>
    </fill>
    <fill>
      <patternFill patternType="solid">
        <fgColor theme="3" tint="9.9978637043366805E-2"/>
        <bgColor indexed="64"/>
      </patternFill>
    </fill>
    <fill>
      <patternFill patternType="solid">
        <fgColor theme="3" tint="0.89999084444715716"/>
        <bgColor indexed="64"/>
      </patternFill>
    </fill>
    <fill>
      <patternFill patternType="solid">
        <fgColor rgb="FF00B050"/>
        <bgColor indexed="64"/>
      </patternFill>
    </fill>
    <fill>
      <patternFill patternType="solid">
        <fgColor rgb="FFFF0066"/>
        <bgColor indexed="64"/>
      </patternFill>
    </fill>
    <fill>
      <patternFill patternType="solid">
        <fgColor rgb="FF00B0F0"/>
        <bgColor indexed="64"/>
      </patternFill>
    </fill>
    <fill>
      <patternFill patternType="solid">
        <fgColor theme="6" tint="0.79998168889431442"/>
        <bgColor indexed="64"/>
      </patternFill>
    </fill>
    <fill>
      <patternFill patternType="solid">
        <fgColor theme="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theme="0"/>
        <bgColor indexed="64"/>
      </patternFill>
    </fill>
  </fills>
  <borders count="33">
    <border>
      <left/>
      <right/>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right/>
      <top/>
      <bottom style="dotted">
        <color theme="0" tint="-0.24994659260841701"/>
      </bottom>
      <diagonal/>
    </border>
    <border>
      <left style="thin">
        <color theme="0" tint="-0.24994659260841701"/>
      </left>
      <right/>
      <top style="thin">
        <color theme="0" tint="-0.34998626667073579"/>
      </top>
      <bottom/>
      <diagonal/>
    </border>
    <border>
      <left/>
      <right/>
      <top style="thin">
        <color theme="0" tint="-0.34998626667073579"/>
      </top>
      <bottom/>
      <diagonal/>
    </border>
    <border>
      <left/>
      <right/>
      <top style="thin">
        <color theme="0" tint="-0.24994659260841701"/>
      </top>
      <bottom style="thin">
        <color theme="0" tint="-0.24994659260841701"/>
      </bottom>
      <diagonal/>
    </border>
    <border>
      <left/>
      <right/>
      <top/>
      <bottom style="thin">
        <color auto="1"/>
      </bottom>
      <diagonal/>
    </border>
    <border>
      <left/>
      <right/>
      <top style="hair">
        <color auto="1"/>
      </top>
      <bottom style="double">
        <color auto="1"/>
      </bottom>
      <diagonal/>
    </border>
    <border>
      <left/>
      <right/>
      <top style="hair">
        <color auto="1"/>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24994659260841701"/>
      </bottom>
      <diagonal/>
    </border>
    <border>
      <left/>
      <right/>
      <top style="thin">
        <color theme="0" tint="-0.24994659260841701"/>
      </top>
      <bottom style="thin">
        <color theme="0" tint="-0.34998626667073579"/>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auto="1"/>
      </top>
      <bottom/>
      <diagonal/>
    </border>
    <border>
      <left/>
      <right style="thin">
        <color indexed="64"/>
      </right>
      <top/>
      <bottom/>
      <diagonal/>
    </border>
    <border>
      <left/>
      <right style="thin">
        <color indexed="64"/>
      </right>
      <top/>
      <bottom style="thin">
        <color auto="1"/>
      </bottom>
      <diagonal/>
    </border>
  </borders>
  <cellStyleXfs count="4">
    <xf numFmtId="0" fontId="0" fillId="0" borderId="0"/>
    <xf numFmtId="44" fontId="23"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cellStyleXfs>
  <cellXfs count="198">
    <xf numFmtId="0" fontId="0" fillId="0" borderId="0" xfId="0"/>
    <xf numFmtId="0" fontId="1" fillId="0" borderId="0" xfId="0" applyFont="1"/>
    <xf numFmtId="0" fontId="2" fillId="2" borderId="0" xfId="0" applyFont="1" applyFill="1" applyAlignment="1">
      <alignment vertical="center"/>
    </xf>
    <xf numFmtId="0" fontId="3" fillId="2" borderId="0" xfId="0" applyFont="1" applyFill="1" applyAlignment="1">
      <alignment vertical="center"/>
    </xf>
    <xf numFmtId="0" fontId="1" fillId="2" borderId="0" xfId="0" applyFont="1" applyFill="1"/>
    <xf numFmtId="0" fontId="4" fillId="2" borderId="0" xfId="0" applyFont="1" applyFill="1" applyAlignment="1">
      <alignment vertical="center"/>
    </xf>
    <xf numFmtId="0" fontId="2" fillId="2" borderId="1" xfId="0" applyFont="1" applyFill="1" applyBorder="1"/>
    <xf numFmtId="0" fontId="2" fillId="2" borderId="2" xfId="0" applyFont="1" applyFill="1" applyBorder="1"/>
    <xf numFmtId="0" fontId="1" fillId="0" borderId="1" xfId="0" applyFont="1" applyBorder="1"/>
    <xf numFmtId="0" fontId="5" fillId="0" borderId="0" xfId="0" applyFont="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7" fillId="3" borderId="0" xfId="0" applyFont="1" applyFill="1" applyAlignment="1">
      <alignment horizontal="center" vertical="center"/>
    </xf>
    <xf numFmtId="0" fontId="9" fillId="0" borderId="0" xfId="0" applyFont="1"/>
    <xf numFmtId="0" fontId="8" fillId="0" borderId="0" xfId="0" applyFont="1"/>
    <xf numFmtId="0" fontId="10" fillId="0" borderId="0" xfId="0" applyFont="1" applyAlignment="1">
      <alignment horizontal="center" vertical="center"/>
    </xf>
    <xf numFmtId="0" fontId="2" fillId="0" borderId="0" xfId="0" applyFont="1"/>
    <xf numFmtId="0" fontId="11" fillId="0" borderId="0" xfId="0" applyFont="1"/>
    <xf numFmtId="0" fontId="12" fillId="0" borderId="0" xfId="0" applyFont="1" applyAlignment="1">
      <alignment horizontal="right" vertical="center"/>
    </xf>
    <xf numFmtId="0" fontId="5" fillId="0" borderId="0" xfId="0" applyFont="1" applyAlignment="1">
      <alignment horizontal="left" vertical="center" indent="1"/>
    </xf>
    <xf numFmtId="0" fontId="5" fillId="0" borderId="6" xfId="0" applyFont="1" applyBorder="1" applyAlignment="1">
      <alignment horizontal="left" indent="1"/>
    </xf>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0" fontId="16" fillId="0" borderId="0" xfId="0" applyFont="1" applyAlignment="1">
      <alignment horizontal="left" indent="1"/>
    </xf>
    <xf numFmtId="165" fontId="17" fillId="0" borderId="6" xfId="0" applyNumberFormat="1" applyFont="1" applyBorder="1"/>
    <xf numFmtId="165" fontId="5" fillId="0" borderId="6" xfId="0" applyNumberFormat="1" applyFont="1" applyBorder="1"/>
    <xf numFmtId="165" fontId="18" fillId="0" borderId="6" xfId="0" applyNumberFormat="1" applyFont="1" applyBorder="1"/>
    <xf numFmtId="164" fontId="14" fillId="5" borderId="0" xfId="0" applyNumberFormat="1" applyFont="1" applyFill="1" applyAlignment="1">
      <alignment horizontal="center" vertical="center"/>
    </xf>
    <xf numFmtId="0" fontId="14" fillId="5" borderId="0" xfId="0" applyFont="1" applyFill="1" applyAlignment="1">
      <alignment horizontal="center" vertical="center"/>
    </xf>
    <xf numFmtId="164" fontId="14" fillId="6" borderId="0" xfId="0" applyNumberFormat="1" applyFont="1" applyFill="1" applyAlignment="1">
      <alignment horizontal="center" vertical="center"/>
    </xf>
    <xf numFmtId="0" fontId="14" fillId="6" borderId="0" xfId="0" applyFont="1" applyFill="1" applyAlignment="1">
      <alignment horizontal="center" vertical="center"/>
    </xf>
    <xf numFmtId="0" fontId="19" fillId="0" borderId="0" xfId="0" applyFont="1" applyAlignment="1">
      <alignment horizontal="right" vertical="center"/>
    </xf>
    <xf numFmtId="165" fontId="20" fillId="0" borderId="6" xfId="0" applyNumberFormat="1" applyFont="1" applyBorder="1"/>
    <xf numFmtId="165" fontId="21" fillId="0" borderId="6" xfId="0" applyNumberFormat="1" applyFont="1" applyBorder="1"/>
    <xf numFmtId="0" fontId="22" fillId="0" borderId="6" xfId="0" applyFont="1" applyBorder="1" applyAlignment="1">
      <alignment horizontal="center" vertical="center"/>
    </xf>
    <xf numFmtId="0" fontId="6" fillId="2" borderId="0" xfId="0" applyFont="1" applyFill="1" applyAlignment="1">
      <alignment horizontal="center"/>
    </xf>
    <xf numFmtId="0" fontId="1" fillId="0" borderId="0" xfId="0" applyFont="1" applyAlignment="1">
      <alignment horizontal="left" vertical="center" indent="1"/>
    </xf>
    <xf numFmtId="0" fontId="7" fillId="0" borderId="0" xfId="0" applyFont="1" applyAlignment="1">
      <alignment horizontal="left" indent="1"/>
    </xf>
    <xf numFmtId="0" fontId="24" fillId="0" borderId="0" xfId="0" applyFont="1" applyAlignment="1">
      <alignment horizontal="left" vertical="center" indent="1"/>
    </xf>
    <xf numFmtId="14" fontId="7" fillId="0" borderId="0" xfId="0" applyNumberFormat="1" applyFont="1" applyAlignment="1">
      <alignment horizontal="left" indent="1"/>
    </xf>
    <xf numFmtId="0" fontId="25" fillId="9" borderId="0" xfId="0" applyFont="1" applyFill="1" applyAlignment="1">
      <alignment horizontal="left" vertical="center" indent="1"/>
    </xf>
    <xf numFmtId="41" fontId="24" fillId="0" borderId="0" xfId="0" applyNumberFormat="1" applyFont="1" applyAlignment="1">
      <alignment horizontal="left" indent="1"/>
    </xf>
    <xf numFmtId="0" fontId="26" fillId="0" borderId="0" xfId="0" applyFont="1"/>
    <xf numFmtId="0" fontId="5" fillId="0" borderId="0" xfId="0" applyFont="1" applyAlignment="1">
      <alignment horizontal="left" indent="1"/>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15" fontId="27" fillId="0" borderId="0" xfId="0" applyNumberFormat="1" applyFont="1" applyAlignment="1">
      <alignment horizontal="right" indent="1"/>
    </xf>
    <xf numFmtId="0" fontId="1" fillId="10" borderId="0" xfId="0" applyFont="1" applyFill="1"/>
    <xf numFmtId="0" fontId="28" fillId="10" borderId="0" xfId="0" applyFont="1" applyFill="1" applyAlignment="1">
      <alignment horizontal="left" vertical="center"/>
    </xf>
    <xf numFmtId="15" fontId="1" fillId="0" borderId="0" xfId="0" applyNumberFormat="1" applyFont="1"/>
    <xf numFmtId="0" fontId="7" fillId="0" borderId="16" xfId="0" applyFont="1" applyBorder="1" applyAlignment="1">
      <alignment horizontal="center" vertical="center"/>
    </xf>
    <xf numFmtId="0" fontId="7" fillId="0" borderId="12" xfId="0" applyFont="1" applyBorder="1" applyAlignment="1">
      <alignment horizontal="center" vertical="center"/>
    </xf>
    <xf numFmtId="166" fontId="7" fillId="0" borderId="16" xfId="0" applyNumberFormat="1" applyFont="1" applyBorder="1" applyAlignment="1">
      <alignment horizontal="center" vertical="center"/>
    </xf>
    <xf numFmtId="166" fontId="7" fillId="0" borderId="12" xfId="0" applyNumberFormat="1" applyFont="1" applyBorder="1" applyAlignment="1">
      <alignment horizontal="center" vertical="center"/>
    </xf>
    <xf numFmtId="0" fontId="5" fillId="0" borderId="17" xfId="0" applyFont="1" applyBorder="1"/>
    <xf numFmtId="0" fontId="1" fillId="0" borderId="0" xfId="0" applyFont="1" applyAlignment="1">
      <alignment horizontal="right"/>
    </xf>
    <xf numFmtId="0" fontId="32" fillId="9" borderId="0" xfId="0" applyFont="1" applyFill="1" applyAlignment="1">
      <alignment horizontal="center" vertical="center"/>
    </xf>
    <xf numFmtId="0" fontId="32" fillId="9" borderId="7" xfId="0" applyFont="1" applyFill="1" applyBorder="1" applyAlignment="1">
      <alignment horizontal="center" vertical="center"/>
    </xf>
    <xf numFmtId="0" fontId="32" fillId="9" borderId="8" xfId="0" applyFont="1" applyFill="1" applyBorder="1" applyAlignment="1">
      <alignment horizontal="center" vertical="center"/>
    </xf>
    <xf numFmtId="41" fontId="1" fillId="0" borderId="0" xfId="0" applyNumberFormat="1" applyFont="1"/>
    <xf numFmtId="14" fontId="7" fillId="0" borderId="0" xfId="0" applyNumberFormat="1" applyFont="1" applyAlignment="1">
      <alignment horizontal="left" indent="2"/>
    </xf>
    <xf numFmtId="0" fontId="7" fillId="0" borderId="0" xfId="0" applyFont="1" applyAlignment="1">
      <alignment horizontal="left" indent="2"/>
    </xf>
    <xf numFmtId="41" fontId="24" fillId="0" borderId="0" xfId="0" applyNumberFormat="1" applyFont="1" applyAlignment="1">
      <alignment horizontal="left" indent="2"/>
    </xf>
    <xf numFmtId="41" fontId="1" fillId="0" borderId="8" xfId="0" applyNumberFormat="1" applyFont="1" applyBorder="1"/>
    <xf numFmtId="0" fontId="32" fillId="9" borderId="16" xfId="0" applyFont="1" applyFill="1" applyBorder="1" applyAlignment="1">
      <alignment horizontal="center" vertical="center"/>
    </xf>
    <xf numFmtId="0" fontId="1" fillId="0" borderId="16" xfId="0" applyFont="1" applyBorder="1"/>
    <xf numFmtId="9" fontId="2" fillId="2" borderId="0" xfId="3" applyFont="1" applyFill="1" applyAlignment="1">
      <alignment vertical="center"/>
    </xf>
    <xf numFmtId="9" fontId="1" fillId="2" borderId="0" xfId="3" applyFont="1" applyFill="1"/>
    <xf numFmtId="9" fontId="1" fillId="0" borderId="0" xfId="3" applyFont="1"/>
    <xf numFmtId="0" fontId="33" fillId="0" borderId="0" xfId="0" applyFont="1" applyAlignment="1">
      <alignment vertical="center"/>
    </xf>
    <xf numFmtId="9" fontId="33" fillId="0" borderId="0" xfId="3" applyFont="1" applyAlignment="1">
      <alignment vertical="center"/>
    </xf>
    <xf numFmtId="9" fontId="33" fillId="0" borderId="0" xfId="3" applyFont="1" applyAlignment="1">
      <alignment horizontal="center" vertical="center"/>
    </xf>
    <xf numFmtId="0" fontId="5" fillId="5" borderId="0" xfId="0" applyFont="1" applyFill="1" applyAlignment="1">
      <alignment horizontal="left" vertical="center" indent="1"/>
    </xf>
    <xf numFmtId="0" fontId="1" fillId="0" borderId="18" xfId="0" applyFont="1" applyBorder="1"/>
    <xf numFmtId="0" fontId="1" fillId="0" borderId="19" xfId="0" applyFont="1" applyBorder="1"/>
    <xf numFmtId="0" fontId="1" fillId="0" borderId="0" xfId="0" quotePrefix="1" applyFont="1"/>
    <xf numFmtId="0" fontId="1" fillId="0" borderId="20" xfId="0" applyFont="1" applyBorder="1"/>
    <xf numFmtId="0" fontId="34" fillId="0" borderId="20" xfId="0" applyFont="1" applyBorder="1"/>
    <xf numFmtId="0" fontId="1" fillId="0" borderId="0" xfId="0" applyFont="1" applyAlignment="1">
      <alignment horizontal="center" vertical="center"/>
    </xf>
    <xf numFmtId="0" fontId="1" fillId="0" borderId="22" xfId="0" applyFont="1" applyBorder="1" applyAlignment="1">
      <alignment horizontal="center" vertical="center"/>
    </xf>
    <xf numFmtId="0" fontId="5" fillId="0" borderId="0" xfId="0" applyFont="1" applyAlignment="1">
      <alignment horizontal="center" vertical="center"/>
    </xf>
    <xf numFmtId="0" fontId="5" fillId="0" borderId="21" xfId="0" applyFont="1" applyBorder="1" applyAlignment="1">
      <alignment horizontal="center" vertical="center"/>
    </xf>
    <xf numFmtId="167" fontId="1" fillId="0" borderId="0" xfId="2" applyNumberFormat="1" applyFont="1" applyAlignment="1">
      <alignment horizontal="center" vertical="center"/>
    </xf>
    <xf numFmtId="167" fontId="1" fillId="0" borderId="22" xfId="2" applyNumberFormat="1" applyFont="1" applyBorder="1" applyAlignment="1">
      <alignment horizontal="center" vertical="center"/>
    </xf>
    <xf numFmtId="167" fontId="5" fillId="0" borderId="0" xfId="2" applyNumberFormat="1" applyFont="1" applyAlignment="1">
      <alignment horizontal="center" vertical="center"/>
    </xf>
    <xf numFmtId="0" fontId="36" fillId="0" borderId="0" xfId="0" applyFont="1" applyAlignment="1">
      <alignment horizontal="left" indent="1"/>
    </xf>
    <xf numFmtId="0" fontId="37" fillId="0" borderId="23" xfId="0" applyFont="1" applyBorder="1" applyAlignment="1">
      <alignment horizontal="left" indent="1"/>
    </xf>
    <xf numFmtId="0" fontId="1" fillId="0" borderId="24" xfId="0" applyFont="1" applyBorder="1"/>
    <xf numFmtId="0" fontId="1" fillId="0" borderId="25" xfId="0" applyFont="1" applyBorder="1"/>
    <xf numFmtId="0" fontId="1" fillId="0" borderId="26" xfId="0" applyFont="1" applyBorder="1"/>
    <xf numFmtId="0" fontId="1" fillId="0" borderId="27" xfId="0" applyFont="1" applyBorder="1"/>
    <xf numFmtId="0" fontId="1" fillId="0" borderId="28" xfId="0" applyFont="1" applyBorder="1"/>
    <xf numFmtId="0" fontId="1" fillId="0" borderId="15" xfId="0" applyFont="1" applyBorder="1"/>
    <xf numFmtId="0" fontId="1" fillId="0" borderId="29" xfId="0" applyFont="1" applyBorder="1"/>
    <xf numFmtId="0" fontId="5" fillId="0" borderId="0" xfId="0" applyFont="1" applyAlignment="1">
      <alignment horizontal="center"/>
    </xf>
    <xf numFmtId="0" fontId="5" fillId="0" borderId="21" xfId="0" applyFont="1" applyBorder="1" applyAlignment="1">
      <alignment horizontal="center"/>
    </xf>
    <xf numFmtId="0" fontId="1" fillId="0" borderId="30" xfId="0" applyFont="1" applyBorder="1" applyAlignment="1">
      <alignment horizontal="center" vertical="center"/>
    </xf>
    <xf numFmtId="0" fontId="1" fillId="0" borderId="21" xfId="0" applyFont="1" applyBorder="1" applyAlignment="1">
      <alignment horizontal="center" vertical="center"/>
    </xf>
    <xf numFmtId="167" fontId="1" fillId="0" borderId="0" xfId="2" applyNumberFormat="1" applyFont="1" applyBorder="1" applyAlignment="1">
      <alignment horizontal="center" vertical="center"/>
    </xf>
    <xf numFmtId="167" fontId="1" fillId="0" borderId="21" xfId="2" applyNumberFormat="1" applyFont="1" applyBorder="1" applyAlignment="1">
      <alignment horizontal="center" vertical="center"/>
    </xf>
    <xf numFmtId="9" fontId="1" fillId="0" borderId="0" xfId="3" applyFont="1" applyFill="1"/>
    <xf numFmtId="0" fontId="38" fillId="0" borderId="0" xfId="0" applyFont="1"/>
    <xf numFmtId="0" fontId="7" fillId="0" borderId="0" xfId="0" applyFont="1"/>
    <xf numFmtId="167" fontId="1" fillId="10" borderId="0" xfId="2" applyNumberFormat="1" applyFont="1" applyFill="1"/>
    <xf numFmtId="167" fontId="1" fillId="0" borderId="0" xfId="2" applyNumberFormat="1" applyFont="1"/>
    <xf numFmtId="167" fontId="1" fillId="0" borderId="20" xfId="2" applyNumberFormat="1" applyFont="1" applyBorder="1"/>
    <xf numFmtId="167" fontId="5" fillId="0" borderId="21" xfId="2" applyNumberFormat="1" applyFont="1" applyBorder="1" applyAlignment="1">
      <alignment horizontal="center" vertical="center"/>
    </xf>
    <xf numFmtId="167" fontId="5" fillId="0" borderId="21" xfId="2" applyNumberFormat="1" applyFont="1" applyBorder="1" applyAlignment="1">
      <alignment horizontal="center"/>
    </xf>
    <xf numFmtId="0" fontId="1" fillId="10" borderId="0" xfId="2" applyNumberFormat="1" applyFont="1" applyFill="1"/>
    <xf numFmtId="0" fontId="1" fillId="0" borderId="0" xfId="2" applyNumberFormat="1" applyFont="1"/>
    <xf numFmtId="0" fontId="1" fillId="0" borderId="20" xfId="2" applyNumberFormat="1" applyFont="1" applyBorder="1"/>
    <xf numFmtId="0" fontId="1" fillId="0" borderId="17" xfId="0" applyFont="1" applyBorder="1" applyAlignment="1">
      <alignment horizontal="right" vertical="center"/>
    </xf>
    <xf numFmtId="1" fontId="1" fillId="0" borderId="0" xfId="0" applyNumberFormat="1" applyFont="1"/>
    <xf numFmtId="167" fontId="1" fillId="0" borderId="0" xfId="0" applyNumberFormat="1" applyFont="1"/>
    <xf numFmtId="0" fontId="39" fillId="0" borderId="0" xfId="0" applyFont="1"/>
    <xf numFmtId="0" fontId="1" fillId="13" borderId="0" xfId="0" applyFont="1" applyFill="1"/>
    <xf numFmtId="14" fontId="7" fillId="0" borderId="0" xfId="0" applyNumberFormat="1" applyFont="1" applyAlignment="1">
      <alignment horizontal="left" indent="3"/>
    </xf>
    <xf numFmtId="0" fontId="7" fillId="0" borderId="0" xfId="0" applyFont="1" applyAlignment="1">
      <alignment horizontal="left" indent="3"/>
    </xf>
    <xf numFmtId="41" fontId="24" fillId="0" borderId="0" xfId="0" applyNumberFormat="1" applyFont="1" applyAlignment="1">
      <alignment horizontal="left" indent="3"/>
    </xf>
    <xf numFmtId="165" fontId="2" fillId="2" borderId="0" xfId="2" applyNumberFormat="1" applyFont="1" applyFill="1" applyAlignment="1">
      <alignment vertical="center"/>
    </xf>
    <xf numFmtId="165" fontId="1" fillId="2" borderId="0" xfId="2" applyNumberFormat="1" applyFont="1" applyFill="1"/>
    <xf numFmtId="165" fontId="1" fillId="0" borderId="0" xfId="2" applyNumberFormat="1" applyFont="1"/>
    <xf numFmtId="165" fontId="1" fillId="0" borderId="19" xfId="2" applyNumberFormat="1" applyFont="1" applyBorder="1"/>
    <xf numFmtId="165" fontId="36" fillId="0" borderId="0" xfId="2" applyNumberFormat="1" applyFont="1" applyBorder="1"/>
    <xf numFmtId="165" fontId="37" fillId="0" borderId="23" xfId="2" applyNumberFormat="1" applyFont="1" applyBorder="1"/>
    <xf numFmtId="165" fontId="1" fillId="0" borderId="10" xfId="2" applyNumberFormat="1" applyFont="1" applyBorder="1"/>
    <xf numFmtId="165" fontId="1" fillId="0" borderId="15" xfId="2" applyNumberFormat="1" applyFont="1" applyBorder="1"/>
    <xf numFmtId="165" fontId="2" fillId="2" borderId="0" xfId="0" applyNumberFormat="1" applyFont="1" applyFill="1" applyAlignment="1">
      <alignment vertical="center"/>
    </xf>
    <xf numFmtId="165" fontId="1" fillId="2" borderId="0" xfId="0" applyNumberFormat="1" applyFont="1" applyFill="1"/>
    <xf numFmtId="165" fontId="1" fillId="0" borderId="0" xfId="0" applyNumberFormat="1" applyFont="1"/>
    <xf numFmtId="165" fontId="33" fillId="0" borderId="0" xfId="2" applyNumberFormat="1" applyFont="1" applyAlignment="1">
      <alignment horizontal="center" vertical="center"/>
    </xf>
    <xf numFmtId="165" fontId="33" fillId="0" borderId="0" xfId="0" applyNumberFormat="1" applyFont="1" applyAlignment="1">
      <alignment vertical="center"/>
    </xf>
    <xf numFmtId="165" fontId="33" fillId="0" borderId="0" xfId="2" applyNumberFormat="1" applyFont="1" applyFill="1" applyAlignment="1">
      <alignment horizontal="center" vertical="center"/>
    </xf>
    <xf numFmtId="0" fontId="11" fillId="0" borderId="0" xfId="0" applyFont="1" applyAlignment="1">
      <alignment horizontal="left" indent="1"/>
    </xf>
    <xf numFmtId="168" fontId="7" fillId="0" borderId="0" xfId="0" applyNumberFormat="1" applyFont="1" applyAlignment="1">
      <alignment horizontal="left" indent="1"/>
    </xf>
    <xf numFmtId="168" fontId="7" fillId="0" borderId="0" xfId="0" applyNumberFormat="1" applyFont="1" applyAlignment="1">
      <alignment horizontal="left" indent="2"/>
    </xf>
    <xf numFmtId="168" fontId="7" fillId="0" borderId="0" xfId="1" applyNumberFormat="1" applyFont="1" applyAlignment="1">
      <alignment horizontal="left" indent="2"/>
    </xf>
    <xf numFmtId="168" fontId="7" fillId="0" borderId="0" xfId="0" applyNumberFormat="1" applyFont="1" applyAlignment="1">
      <alignment horizontal="left" indent="3"/>
    </xf>
    <xf numFmtId="2" fontId="1" fillId="0" borderId="0" xfId="0" applyNumberFormat="1" applyFont="1"/>
    <xf numFmtId="0" fontId="0" fillId="0" borderId="0" xfId="0" applyAlignment="1">
      <alignment horizontal="center"/>
    </xf>
    <xf numFmtId="42" fontId="0" fillId="0" borderId="0" xfId="0" applyNumberFormat="1"/>
    <xf numFmtId="42" fontId="41" fillId="0" borderId="21" xfId="0" applyNumberFormat="1" applyFont="1" applyBorder="1" applyAlignment="1">
      <alignment horizontal="center"/>
    </xf>
    <xf numFmtId="42" fontId="0" fillId="0" borderId="30" xfId="0" applyNumberFormat="1" applyBorder="1" applyAlignment="1">
      <alignment horizontal="center"/>
    </xf>
    <xf numFmtId="42" fontId="41" fillId="0" borderId="0" xfId="0" applyNumberFormat="1" applyFont="1"/>
    <xf numFmtId="8" fontId="0" fillId="0" borderId="0" xfId="0" applyNumberFormat="1"/>
    <xf numFmtId="9" fontId="0" fillId="0" borderId="0" xfId="3" applyFont="1"/>
    <xf numFmtId="44" fontId="0" fillId="0" borderId="0" xfId="1" applyFont="1"/>
    <xf numFmtId="42" fontId="0" fillId="0" borderId="0" xfId="0" applyNumberFormat="1" applyAlignment="1">
      <alignment horizontal="center"/>
    </xf>
    <xf numFmtId="9" fontId="0" fillId="0" borderId="21" xfId="3" applyFont="1" applyBorder="1"/>
    <xf numFmtId="8" fontId="41" fillId="0" borderId="0" xfId="0" applyNumberFormat="1" applyFont="1"/>
    <xf numFmtId="0" fontId="0" fillId="0" borderId="31" xfId="0" applyBorder="1"/>
    <xf numFmtId="0" fontId="0" fillId="0" borderId="21" xfId="0" applyBorder="1"/>
    <xf numFmtId="2" fontId="0" fillId="0" borderId="0" xfId="0" applyNumberFormat="1"/>
    <xf numFmtId="169" fontId="0" fillId="0" borderId="0" xfId="3" applyNumberFormat="1" applyFont="1"/>
    <xf numFmtId="9" fontId="0" fillId="0" borderId="0" xfId="0" applyNumberFormat="1"/>
    <xf numFmtId="44" fontId="0" fillId="0" borderId="0" xfId="0" applyNumberFormat="1"/>
    <xf numFmtId="8" fontId="43" fillId="0" borderId="0" xfId="0" applyNumberFormat="1" applyFont="1"/>
    <xf numFmtId="10" fontId="0" fillId="0" borderId="0" xfId="3" applyNumberFormat="1" applyFont="1"/>
    <xf numFmtId="2" fontId="0" fillId="0" borderId="0" xfId="3" applyNumberFormat="1" applyFont="1"/>
    <xf numFmtId="42" fontId="0" fillId="0" borderId="31" xfId="0" applyNumberFormat="1" applyBorder="1"/>
    <xf numFmtId="42" fontId="41" fillId="0" borderId="32" xfId="0" applyNumberFormat="1" applyFont="1" applyBorder="1" applyAlignment="1">
      <alignment horizontal="center"/>
    </xf>
    <xf numFmtId="42" fontId="0" fillId="0" borderId="31" xfId="0" applyNumberFormat="1" applyBorder="1" applyAlignment="1">
      <alignment horizontal="center"/>
    </xf>
    <xf numFmtId="42" fontId="41" fillId="0" borderId="31" xfId="0" applyNumberFormat="1" applyFont="1" applyBorder="1"/>
    <xf numFmtId="0" fontId="0" fillId="0" borderId="0" xfId="0" quotePrefix="1"/>
    <xf numFmtId="165" fontId="0" fillId="0" borderId="0" xfId="1" applyNumberFormat="1" applyFont="1"/>
    <xf numFmtId="0" fontId="44" fillId="0" borderId="21" xfId="0" applyFont="1" applyBorder="1"/>
    <xf numFmtId="14" fontId="7" fillId="0" borderId="0" xfId="0" applyNumberFormat="1" applyFont="1" applyAlignment="1">
      <alignment horizontal="left"/>
    </xf>
    <xf numFmtId="0" fontId="7" fillId="0" borderId="0" xfId="0" applyFont="1" applyAlignment="1">
      <alignment horizontal="left"/>
    </xf>
    <xf numFmtId="16" fontId="7" fillId="0" borderId="0" xfId="0" applyNumberFormat="1" applyFont="1" applyAlignment="1">
      <alignment horizontal="left" indent="1"/>
    </xf>
    <xf numFmtId="165" fontId="0" fillId="0" borderId="0" xfId="0" applyNumberFormat="1"/>
    <xf numFmtId="0" fontId="8" fillId="0" borderId="0" xfId="0" applyFont="1" applyAlignment="1">
      <alignment horizontal="center"/>
    </xf>
    <xf numFmtId="0" fontId="14" fillId="2" borderId="0" xfId="0" applyFont="1" applyFill="1" applyAlignment="1">
      <alignment horizontal="center" vertical="center"/>
    </xf>
    <xf numFmtId="0" fontId="14" fillId="2" borderId="0" xfId="0" applyFont="1" applyFill="1" applyAlignment="1">
      <alignment horizont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7" fillId="7" borderId="15" xfId="0" applyFont="1" applyFill="1" applyBorder="1" applyAlignment="1">
      <alignment horizontal="center" vertical="center"/>
    </xf>
    <xf numFmtId="0" fontId="30" fillId="0" borderId="0" xfId="0" applyFont="1" applyAlignment="1">
      <alignment horizontal="right" indent="1"/>
    </xf>
    <xf numFmtId="166" fontId="7" fillId="7" borderId="15" xfId="0" applyNumberFormat="1" applyFont="1" applyFill="1" applyBorder="1" applyAlignment="1">
      <alignment horizontal="center" vertical="center"/>
    </xf>
    <xf numFmtId="0" fontId="6" fillId="2" borderId="0" xfId="0" applyFont="1" applyFill="1" applyAlignment="1">
      <alignment horizontal="center"/>
    </xf>
    <xf numFmtId="0" fontId="11" fillId="0" borderId="0" xfId="0" applyFont="1" applyAlignment="1">
      <alignment horizontal="left" vertical="top" wrapText="1"/>
    </xf>
    <xf numFmtId="0" fontId="30" fillId="0" borderId="0" xfId="0" applyFont="1" applyAlignment="1">
      <alignment horizontal="left" vertical="top"/>
    </xf>
    <xf numFmtId="0" fontId="6" fillId="2" borderId="0" xfId="0" applyFont="1" applyFill="1" applyAlignment="1">
      <alignment horizontal="center" vertical="center"/>
    </xf>
    <xf numFmtId="42" fontId="41" fillId="0" borderId="0" xfId="0" applyNumberFormat="1" applyFont="1" applyAlignment="1">
      <alignment horizontal="left"/>
    </xf>
    <xf numFmtId="42" fontId="42" fillId="0" borderId="0" xfId="0" applyNumberFormat="1" applyFont="1" applyAlignment="1">
      <alignment horizontal="center"/>
    </xf>
    <xf numFmtId="42" fontId="41" fillId="0" borderId="0" xfId="0" applyNumberFormat="1" applyFont="1" applyAlignment="1">
      <alignment horizontal="center"/>
    </xf>
    <xf numFmtId="6" fontId="41" fillId="0" borderId="21" xfId="0" applyNumberFormat="1" applyFont="1" applyBorder="1" applyAlignment="1">
      <alignment horizontal="center"/>
    </xf>
    <xf numFmtId="6" fontId="41" fillId="0" borderId="32" xfId="0" applyNumberFormat="1" applyFont="1" applyBorder="1" applyAlignment="1">
      <alignment horizontal="center"/>
    </xf>
    <xf numFmtId="164" fontId="1" fillId="0" borderId="30" xfId="0" applyNumberFormat="1" applyFont="1" applyBorder="1" applyAlignment="1">
      <alignment horizontal="center" vertical="center"/>
    </xf>
    <xf numFmtId="164" fontId="1" fillId="0" borderId="0" xfId="0" applyNumberFormat="1" applyFont="1" applyAlignment="1">
      <alignment horizontal="center" vertical="center"/>
    </xf>
    <xf numFmtId="164" fontId="1" fillId="0" borderId="21" xfId="0" applyNumberFormat="1" applyFont="1" applyBorder="1" applyAlignment="1">
      <alignment horizontal="center" vertical="center"/>
    </xf>
    <xf numFmtId="0" fontId="29" fillId="8" borderId="0" xfId="0" applyFont="1" applyFill="1" applyAlignment="1">
      <alignment horizontal="left" vertical="center" indent="1"/>
    </xf>
    <xf numFmtId="0" fontId="14" fillId="11" borderId="0" xfId="0" applyFont="1" applyFill="1" applyAlignment="1">
      <alignment horizontal="center" vertical="center"/>
    </xf>
    <xf numFmtId="0" fontId="22" fillId="12" borderId="0" xfId="0" applyFont="1" applyFill="1" applyAlignment="1">
      <alignment horizontal="center" vertical="center"/>
    </xf>
  </cellXfs>
  <cellStyles count="4">
    <cellStyle name="Comma" xfId="2" builtinId="3"/>
    <cellStyle name="Currency" xfId="1" builtinId="4"/>
    <cellStyle name="Normal" xfId="0" builtinId="0"/>
    <cellStyle name="Percent" xfId="3" builtinId="5"/>
  </cellStyles>
  <dxfs count="79">
    <dxf>
      <fill>
        <patternFill>
          <bgColor rgb="FFE4E4E4"/>
        </patternFill>
      </fill>
    </dxf>
    <dxf>
      <fill>
        <patternFill>
          <bgColor rgb="FFB3DEFF"/>
        </patternFill>
      </fill>
    </dxf>
    <dxf>
      <fill>
        <patternFill>
          <bgColor rgb="FF75C4FF"/>
        </patternFill>
      </fill>
    </dxf>
    <dxf>
      <fill>
        <patternFill>
          <bgColor rgb="FF33A8FF"/>
        </patternFill>
      </fill>
    </dxf>
    <dxf>
      <fill>
        <patternFill>
          <bgColor rgb="FF0088EE"/>
        </patternFill>
      </fill>
    </dxf>
    <dxf>
      <fill>
        <patternFill>
          <bgColor rgb="FF0070C0"/>
        </patternFill>
      </fill>
    </dxf>
    <dxf>
      <fill>
        <patternFill>
          <bgColor rgb="FFE4E4E4"/>
        </patternFill>
      </fill>
    </dxf>
    <dxf>
      <fill>
        <patternFill>
          <bgColor rgb="FFFFC1DA"/>
        </patternFill>
      </fill>
    </dxf>
    <dxf>
      <fill>
        <patternFill>
          <bgColor rgb="FFFF97C1"/>
        </patternFill>
      </fill>
    </dxf>
    <dxf>
      <fill>
        <patternFill>
          <bgColor rgb="FFFF438F"/>
        </patternFill>
      </fill>
    </dxf>
    <dxf>
      <fill>
        <patternFill>
          <bgColor rgb="FFFF0066"/>
        </patternFill>
      </fill>
    </dxf>
    <dxf>
      <fill>
        <patternFill>
          <bgColor rgb="FFE2005B"/>
        </patternFill>
      </fill>
    </dxf>
    <dxf>
      <fill>
        <patternFill>
          <bgColor rgb="FFE4E4E4"/>
        </patternFill>
      </fill>
    </dxf>
    <dxf>
      <fill>
        <patternFill>
          <bgColor rgb="FFBDFFDB"/>
        </patternFill>
      </fill>
    </dxf>
    <dxf>
      <fill>
        <patternFill>
          <bgColor rgb="FF81FFBA"/>
        </patternFill>
      </fill>
    </dxf>
    <dxf>
      <fill>
        <patternFill>
          <bgColor rgb="FF25FF88"/>
        </patternFill>
      </fill>
    </dxf>
    <dxf>
      <fill>
        <patternFill>
          <bgColor rgb="FF00D25F"/>
        </patternFill>
      </fill>
    </dxf>
    <dxf>
      <fill>
        <patternFill>
          <bgColor rgb="FF00A84C"/>
        </patternFill>
      </fill>
    </dxf>
    <dxf>
      <fill>
        <patternFill>
          <bgColor rgb="FF97C0E9"/>
        </patternFill>
      </fill>
    </dxf>
    <dxf>
      <fill>
        <patternFill>
          <bgColor rgb="FFFF3399"/>
        </patternFill>
      </fill>
    </dxf>
    <dxf>
      <fill>
        <patternFill>
          <bgColor rgb="FF7FE7C7"/>
        </patternFill>
      </fill>
    </dxf>
    <dxf>
      <font>
        <b/>
        <i val="0"/>
      </font>
      <border>
        <top style="thin">
          <color auto="1"/>
        </top>
        <vertical/>
        <horizontal/>
      </border>
    </dxf>
    <dxf>
      <font>
        <b/>
        <i val="0"/>
        <color theme="0"/>
      </font>
      <fill>
        <patternFill>
          <bgColor rgb="FF0070C0"/>
        </patternFill>
      </fill>
    </dxf>
    <dxf>
      <font>
        <b/>
        <i val="0"/>
        <color theme="0"/>
      </font>
      <fill>
        <patternFill>
          <bgColor rgb="FF00B050"/>
        </patternFill>
      </fill>
    </dxf>
    <dxf>
      <font>
        <b/>
        <i val="0"/>
        <color theme="0"/>
      </font>
      <fill>
        <patternFill>
          <bgColor rgb="FFFF0066"/>
        </patternFill>
      </fill>
    </dxf>
    <dxf>
      <font>
        <color theme="0" tint="-0.499984740745262"/>
      </font>
      <numFmt numFmtId="170" formatCode="\→\ d\-mmm\-yy"/>
    </dxf>
    <dxf>
      <font>
        <b/>
        <i val="0"/>
        <color rgb="FF00B050"/>
      </font>
      <numFmt numFmtId="7" formatCode="#,##0.00_);\(#,##0.00\)"/>
    </dxf>
    <dxf>
      <font>
        <color rgb="FFFF0000"/>
      </font>
      <fill>
        <patternFill patternType="none">
          <bgColor auto="1"/>
        </patternFill>
      </fill>
    </dxf>
    <dxf>
      <font>
        <color rgb="FFFF0000"/>
      </font>
    </dxf>
    <dxf>
      <font>
        <color rgb="FF00B050"/>
      </font>
    </dxf>
    <dxf>
      <font>
        <color theme="0" tint="-0.24994659260841701"/>
      </font>
    </dxf>
    <dxf>
      <font>
        <color theme="1"/>
      </font>
      <fill>
        <patternFill>
          <bgColor theme="7" tint="0.79998168889431442"/>
        </patternFill>
      </fill>
    </dxf>
    <dxf>
      <font>
        <color theme="1"/>
      </font>
      <fill>
        <patternFill>
          <bgColor rgb="FFFFBDD8"/>
        </patternFill>
      </fill>
    </dxf>
    <dxf>
      <font>
        <color theme="1"/>
      </font>
      <fill>
        <patternFill>
          <bgColor theme="6" tint="0.79998168889431442"/>
        </patternFill>
      </fill>
    </dxf>
    <dxf>
      <font>
        <color theme="0" tint="-0.24994659260841701"/>
      </font>
      <fill>
        <patternFill>
          <bgColor theme="0" tint="-4.9989318521683403E-2"/>
        </patternFill>
      </fill>
    </dxf>
    <dxf>
      <numFmt numFmtId="32" formatCode="_(&quot;$&quot;* #,##0_);_(&quot;$&quot;* \(#,##0\);_(&quot;$&quot;* &quot;-&quot;_);_(@_)"/>
      <alignment horizontal="center" vertical="bottom" textRotation="0" wrapText="0" indent="0" justifyLastLine="0" shrinkToFit="0" readingOrder="0"/>
      <border diagonalUp="0" diagonalDown="0">
        <left/>
        <right style="thin">
          <color indexed="64"/>
        </right>
        <top style="thin">
          <color auto="1"/>
        </top>
        <bottom/>
        <vertical/>
        <horizontal/>
      </border>
    </dxf>
    <dxf>
      <numFmt numFmtId="32" formatCode="_(&quot;$&quot;* #,##0_);_(&quot;$&quot;* \(#,##0\);_(&quot;$&quot;* &quot;-&quot;_);_(@_)"/>
      <alignment horizontal="center" vertical="bottom" textRotation="0" wrapText="0" indent="0" justifyLastLine="0" shrinkToFit="0" readingOrder="0"/>
      <border diagonalUp="0" diagonalDown="0">
        <left/>
        <right/>
        <top style="thin">
          <color auto="1"/>
        </top>
        <bottom/>
        <vertical/>
        <horizontal/>
      </border>
    </dxf>
    <dxf>
      <numFmt numFmtId="32" formatCode="_(&quot;$&quot;* #,##0_);_(&quot;$&quot;* \(#,##0\);_(&quot;$&quot;* &quot;-&quot;_);_(@_)"/>
      <alignment horizontal="center" vertical="bottom" textRotation="0" wrapText="0" indent="0" justifyLastLine="0" shrinkToFit="0" readingOrder="0"/>
      <border diagonalUp="0" diagonalDown="0">
        <left/>
        <right/>
        <top style="thin">
          <color auto="1"/>
        </top>
        <bottom/>
        <vertical/>
        <horizontal/>
      </border>
    </dxf>
    <dxf>
      <numFmt numFmtId="32" formatCode="_(&quot;$&quot;* #,##0_);_(&quot;$&quot;* \(#,##0\);_(&quot;$&quot;* &quot;-&quot;_);_(@_)"/>
      <alignment horizontal="center" vertical="bottom" textRotation="0" wrapText="0" indent="0" justifyLastLine="0" shrinkToFit="0" readingOrder="0"/>
      <border diagonalUp="0" diagonalDown="0">
        <left/>
        <right/>
        <top style="thin">
          <color auto="1"/>
        </top>
        <bottom/>
        <vertical/>
        <horizontal/>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numFmt numFmtId="32" formatCode="_(&quot;$&quot;* #,##0_);_(&quot;$&quot;* \(#,##0\);_(&quot;$&quot;* &quot;-&quot;_);_(@_)"/>
      <alignment horizontal="center" vertical="bottom" textRotation="0" wrapText="0" indent="0" justifyLastLine="0" shrinkToFit="0" readingOrder="0"/>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border outline="0">
        <bottom style="thin">
          <color auto="1"/>
        </bottom>
      </border>
    </dxf>
    <dxf>
      <font>
        <b/>
        <i val="0"/>
        <strike val="0"/>
        <condense val="0"/>
        <extend val="0"/>
        <outline val="0"/>
        <shadow val="0"/>
        <u val="none"/>
        <vertAlign val="baseline"/>
        <sz val="11"/>
        <color theme="1"/>
        <name val="Aptos Narrow"/>
        <family val="2"/>
        <scheme val="minor"/>
      </font>
      <numFmt numFmtId="32"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theme="0" tint="-0.14999847407452621"/>
        <name val="Calibri"/>
        <family val="2"/>
        <scheme val="none"/>
      </font>
      <numFmt numFmtId="20" formatCode="d\-mmm\-yy"/>
      <alignment horizontal="right" vertical="bottom" textRotation="0" wrapText="0" indent="1" justifyLastLine="0" shrinkToFit="0" readingOrder="0"/>
    </dxf>
    <dxf>
      <font>
        <b val="0"/>
        <i val="0"/>
        <strike val="0"/>
        <condense val="0"/>
        <extend val="0"/>
        <outline val="0"/>
        <shadow val="0"/>
        <u val="none"/>
        <vertAlign val="baseline"/>
        <sz val="10"/>
        <color theme="0" tint="-0.499984740745262"/>
        <name val="Calibri"/>
        <family val="2"/>
        <scheme val="none"/>
      </font>
      <numFmt numFmtId="33" formatCode="_(* #,##0_);_(* \(#,##0\);_(* &quot;-&quot;_);_(@_)"/>
      <alignment horizontal="left" vertical="bottom" textRotation="0" wrapText="0" relativeIndent="1" justifyLastLine="0" shrinkToFit="0" readingOrder="0"/>
    </dxf>
    <dxf>
      <font>
        <b val="0"/>
        <i val="0"/>
        <strike val="0"/>
        <condense val="0"/>
        <extend val="0"/>
        <outline val="0"/>
        <shadow val="0"/>
        <u val="none"/>
        <vertAlign val="baseline"/>
        <sz val="10"/>
        <color theme="0" tint="-0.499984740745262"/>
        <name val="Calibri"/>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theme="1"/>
        <name val="Calibri"/>
        <family val="2"/>
        <scheme val="none"/>
      </font>
      <numFmt numFmtId="168" formatCode="_(* #,##0.00_);_(* \(#,##0.00\);_(* &quot;-&quot;_);_(@_)"/>
      <alignment horizontal="left" vertical="bottom" textRotation="0" wrapText="0" relativeIndent="1" justifyLastLine="0" shrinkToFit="0" readingOrder="0"/>
    </dxf>
    <dxf>
      <font>
        <b val="0"/>
        <i val="0"/>
        <strike val="0"/>
        <condense val="0"/>
        <extend val="0"/>
        <outline val="0"/>
        <shadow val="0"/>
        <u val="none"/>
        <vertAlign val="baseline"/>
        <sz val="10"/>
        <color theme="1"/>
        <name val="Calibri"/>
        <family val="2"/>
        <scheme val="none"/>
      </font>
      <alignment horizontal="left" vertical="bottom" textRotation="0" wrapText="0" relativeIndent="1" justifyLastLine="0" shrinkToFit="0" readingOrder="0"/>
    </dxf>
    <dxf>
      <font>
        <b val="0"/>
        <i val="0"/>
        <strike val="0"/>
        <condense val="0"/>
        <extend val="0"/>
        <outline val="0"/>
        <shadow val="0"/>
        <u val="none"/>
        <vertAlign val="baseline"/>
        <sz val="10"/>
        <color theme="1"/>
        <name val="Calibri"/>
        <family val="2"/>
        <scheme val="none"/>
      </font>
      <alignment horizontal="left" vertical="bottom" textRotation="0" wrapText="0" relativeIndent="1" justifyLastLine="0" shrinkToFit="0" readingOrder="0"/>
    </dxf>
    <dxf>
      <font>
        <b val="0"/>
        <i val="0"/>
        <strike val="0"/>
        <condense val="0"/>
        <extend val="0"/>
        <outline val="0"/>
        <shadow val="0"/>
        <u val="none"/>
        <vertAlign val="baseline"/>
        <sz val="10"/>
        <color theme="1"/>
        <name val="Calibri"/>
        <family val="2"/>
        <scheme val="none"/>
      </font>
      <numFmt numFmtId="19" formatCode="m/d/yyyy"/>
      <alignment horizontal="left" vertical="bottom" textRotation="0" wrapText="0" relativeIndent="1" justifyLastLine="0" shrinkToFit="0" readingOrder="0"/>
    </dxf>
    <dxf>
      <font>
        <b val="0"/>
        <i val="0"/>
        <strike val="0"/>
        <condense val="0"/>
        <extend val="0"/>
        <outline val="0"/>
        <shadow val="0"/>
        <u val="none"/>
        <vertAlign val="baseline"/>
        <sz val="10"/>
        <color theme="1"/>
        <name val="Calibri"/>
        <family val="2"/>
        <scheme val="none"/>
      </font>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0" relative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none"/>
      </font>
      <alignment horizontal="left" vertical="center"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FF0066"/>
        </patternFill>
      </fill>
      <alignment horizontal="left" vertical="center"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none"/>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none"/>
      </font>
      <alignment horizontal="left" vertical="center" textRotation="0" wrapText="0" indent="1" justifyLastLine="0" shrinkToFit="0" readingOrder="0"/>
    </dxf>
    <dxf>
      <fill>
        <patternFill>
          <bgColor theme="0" tint="-4.9989318521683403E-2"/>
        </patternFill>
      </fill>
    </dxf>
    <dxf>
      <font>
        <b/>
        <i val="0"/>
        <color theme="0"/>
      </font>
      <fill>
        <patternFill>
          <bgColor theme="3"/>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bgColor theme="7"/>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00B050"/>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FF0066"/>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pivot="0" count="2" xr9:uid="{90F1D393-5276-47A5-A874-0E2C7F71D598}">
      <tableStyleElement type="wholeTable" dxfId="78"/>
      <tableStyleElement type="headerRow" dxfId="77"/>
    </tableStyle>
    <tableStyle name="Income Table Style" pivot="0" count="2" xr9:uid="{971C8B06-3F03-4051-BE15-E8018869F61F}">
      <tableStyleElement type="wholeTable" dxfId="76"/>
      <tableStyleElement type="headerRow" dxfId="75"/>
    </tableStyle>
    <tableStyle name="Savings Table Style" pivot="0" count="2" xr9:uid="{7BB63F5A-CB1B-4875-BBCF-E67FD44D9C71}">
      <tableStyleElement type="wholeTable" dxfId="74"/>
      <tableStyleElement type="headerRow" dxfId="73"/>
    </tableStyle>
    <tableStyle name="Tracking Table Style" pivot="0" count="3" xr9:uid="{64C9C182-31DA-40C5-A217-294593C85A28}">
      <tableStyleElement type="wholeTable" dxfId="72"/>
      <tableStyleElement type="headerRow" dxfId="71"/>
      <tableStyleElement type="firstRowStripe" dxfId="70"/>
    </tableStyle>
  </tableStyles>
  <colors>
    <mruColors>
      <color rgb="FFD3F5D8"/>
      <color rgb="FF6ADC7A"/>
      <color rgb="FF00B050"/>
      <color rgb="FF84E291"/>
      <color rgb="FF008A3E"/>
      <color rgb="FF6FD04C"/>
      <color rgb="FFC80051"/>
      <color rgb="FF5FCB39"/>
      <color rgb="FFBDE9AD"/>
      <color rgb="FF0091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A84C"/>
              </a:solidFill>
              <a:ln w="19050">
                <a:solidFill>
                  <a:schemeClr val="lt1"/>
                </a:solidFill>
              </a:ln>
              <a:effectLst/>
            </c:spPr>
            <c:extLst>
              <c:ext xmlns:c16="http://schemas.microsoft.com/office/drawing/2014/chart" uri="{C3380CC4-5D6E-409C-BE32-E72D297353CC}">
                <c16:uniqueId val="{00000001-3D53-43F7-8B1C-7C6F583FAF8B}"/>
              </c:ext>
            </c:extLst>
          </c:dPt>
          <c:dPt>
            <c:idx val="1"/>
            <c:bubble3D val="0"/>
            <c:spPr>
              <a:solidFill>
                <a:srgbClr val="00D25F"/>
              </a:solidFill>
              <a:ln w="19050">
                <a:solidFill>
                  <a:schemeClr val="lt1"/>
                </a:solidFill>
              </a:ln>
              <a:effectLst/>
            </c:spPr>
            <c:extLst>
              <c:ext xmlns:c16="http://schemas.microsoft.com/office/drawing/2014/chart" uri="{C3380CC4-5D6E-409C-BE32-E72D297353CC}">
                <c16:uniqueId val="{00000003-3D53-43F7-8B1C-7C6F583FAF8B}"/>
              </c:ext>
            </c:extLst>
          </c:dPt>
          <c:dPt>
            <c:idx val="2"/>
            <c:bubble3D val="0"/>
            <c:spPr>
              <a:solidFill>
                <a:srgbClr val="25FF88"/>
              </a:solidFill>
              <a:ln w="19050">
                <a:solidFill>
                  <a:schemeClr val="lt1"/>
                </a:solidFill>
              </a:ln>
              <a:effectLst/>
            </c:spPr>
            <c:extLst>
              <c:ext xmlns:c16="http://schemas.microsoft.com/office/drawing/2014/chart" uri="{C3380CC4-5D6E-409C-BE32-E72D297353CC}">
                <c16:uniqueId val="{00000005-3D53-43F7-8B1C-7C6F583FAF8B}"/>
              </c:ext>
            </c:extLst>
          </c:dPt>
          <c:dPt>
            <c:idx val="3"/>
            <c:bubble3D val="0"/>
            <c:spPr>
              <a:solidFill>
                <a:srgbClr val="81FFBA"/>
              </a:solidFill>
              <a:ln w="19050">
                <a:solidFill>
                  <a:schemeClr val="lt1"/>
                </a:solidFill>
              </a:ln>
              <a:effectLst/>
            </c:spPr>
            <c:extLst>
              <c:ext xmlns:c16="http://schemas.microsoft.com/office/drawing/2014/chart" uri="{C3380CC4-5D6E-409C-BE32-E72D297353CC}">
                <c16:uniqueId val="{00000007-3D53-43F7-8B1C-7C6F583FAF8B}"/>
              </c:ext>
            </c:extLst>
          </c:dPt>
          <c:dPt>
            <c:idx val="4"/>
            <c:bubble3D val="0"/>
            <c:spPr>
              <a:solidFill>
                <a:srgbClr val="BDFFDB"/>
              </a:solidFill>
              <a:ln w="19050">
                <a:solidFill>
                  <a:schemeClr val="lt1"/>
                </a:solidFill>
              </a:ln>
              <a:effectLst/>
            </c:spPr>
            <c:extLst>
              <c:ext xmlns:c16="http://schemas.microsoft.com/office/drawing/2014/chart" uri="{C3380CC4-5D6E-409C-BE32-E72D297353CC}">
                <c16:uniqueId val="{00000009-3D53-43F7-8B1C-7C6F583FAF8B}"/>
              </c:ext>
            </c:extLst>
          </c:dPt>
          <c:dPt>
            <c:idx val="5"/>
            <c:bubble3D val="0"/>
            <c:spPr>
              <a:solidFill>
                <a:srgbClr val="E4E4E4"/>
              </a:solidFill>
              <a:ln w="19050">
                <a:solidFill>
                  <a:schemeClr val="lt1"/>
                </a:solidFill>
              </a:ln>
              <a:effectLst/>
            </c:spPr>
            <c:extLst>
              <c:ext xmlns:c16="http://schemas.microsoft.com/office/drawing/2014/chart" uri="{C3380CC4-5D6E-409C-BE32-E72D297353CC}">
                <c16:uniqueId val="{0000000B-3D53-43F7-8B1C-7C6F583FAF8B}"/>
              </c:ext>
            </c:extLst>
          </c:dPt>
          <c:cat>
            <c:strRef>
              <c:f>Calculations!$E$35:$E$40</c:f>
              <c:strCache>
                <c:ptCount val="6"/>
                <c:pt idx="5">
                  <c:v>Other</c:v>
                </c:pt>
              </c:strCache>
            </c:strRef>
          </c:cat>
          <c:val>
            <c:numRef>
              <c:f>Calculations!$F$35:$F$40</c:f>
              <c:numCache>
                <c:formatCode>_(* #,##0_);_(* \(#,##0\);_(* "-"??_);_(@_)</c:formatCode>
                <c:ptCount val="6"/>
                <c:pt idx="0">
                  <c:v>0</c:v>
                </c:pt>
                <c:pt idx="1">
                  <c:v>0</c:v>
                </c:pt>
                <c:pt idx="2">
                  <c:v>0</c:v>
                </c:pt>
                <c:pt idx="3">
                  <c:v>0</c:v>
                </c:pt>
                <c:pt idx="4">
                  <c:v>0</c:v>
                </c:pt>
                <c:pt idx="5">
                  <c:v>760.47</c:v>
                </c:pt>
              </c:numCache>
            </c:numRef>
          </c:val>
          <c:extLst>
            <c:ext xmlns:c16="http://schemas.microsoft.com/office/drawing/2014/chart" uri="{C3380CC4-5D6E-409C-BE32-E72D297353CC}">
              <c16:uniqueId val="{0000000C-3D53-43F7-8B1C-7C6F583FAF8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2005B"/>
              </a:solidFill>
              <a:ln w="19050">
                <a:solidFill>
                  <a:schemeClr val="lt1"/>
                </a:solidFill>
              </a:ln>
              <a:effectLst/>
            </c:spPr>
            <c:extLst>
              <c:ext xmlns:c16="http://schemas.microsoft.com/office/drawing/2014/chart" uri="{C3380CC4-5D6E-409C-BE32-E72D297353CC}">
                <c16:uniqueId val="{00000001-6897-4677-8B11-3D8B6A610CDD}"/>
              </c:ext>
            </c:extLst>
          </c:dPt>
          <c:dPt>
            <c:idx val="1"/>
            <c:bubble3D val="0"/>
            <c:spPr>
              <a:solidFill>
                <a:srgbClr val="FF0066"/>
              </a:solidFill>
              <a:ln w="19050">
                <a:solidFill>
                  <a:schemeClr val="lt1"/>
                </a:solidFill>
              </a:ln>
              <a:effectLst/>
            </c:spPr>
            <c:extLst>
              <c:ext xmlns:c16="http://schemas.microsoft.com/office/drawing/2014/chart" uri="{C3380CC4-5D6E-409C-BE32-E72D297353CC}">
                <c16:uniqueId val="{00000003-6897-4677-8B11-3D8B6A610CDD}"/>
              </c:ext>
            </c:extLst>
          </c:dPt>
          <c:dPt>
            <c:idx val="2"/>
            <c:bubble3D val="0"/>
            <c:spPr>
              <a:solidFill>
                <a:srgbClr val="FF438F"/>
              </a:solidFill>
              <a:ln w="19050">
                <a:solidFill>
                  <a:schemeClr val="lt1"/>
                </a:solidFill>
              </a:ln>
              <a:effectLst/>
            </c:spPr>
            <c:extLst>
              <c:ext xmlns:c16="http://schemas.microsoft.com/office/drawing/2014/chart" uri="{C3380CC4-5D6E-409C-BE32-E72D297353CC}">
                <c16:uniqueId val="{00000005-6897-4677-8B11-3D8B6A610CDD}"/>
              </c:ext>
            </c:extLst>
          </c:dPt>
          <c:dPt>
            <c:idx val="3"/>
            <c:bubble3D val="0"/>
            <c:spPr>
              <a:solidFill>
                <a:srgbClr val="FF97C1"/>
              </a:solidFill>
              <a:ln w="19050">
                <a:solidFill>
                  <a:schemeClr val="lt1"/>
                </a:solidFill>
              </a:ln>
              <a:effectLst/>
            </c:spPr>
            <c:extLst>
              <c:ext xmlns:c16="http://schemas.microsoft.com/office/drawing/2014/chart" uri="{C3380CC4-5D6E-409C-BE32-E72D297353CC}">
                <c16:uniqueId val="{00000007-6897-4677-8B11-3D8B6A610CDD}"/>
              </c:ext>
            </c:extLst>
          </c:dPt>
          <c:dPt>
            <c:idx val="4"/>
            <c:bubble3D val="0"/>
            <c:spPr>
              <a:solidFill>
                <a:srgbClr val="FFC1DA"/>
              </a:solidFill>
              <a:ln w="19050">
                <a:solidFill>
                  <a:schemeClr val="lt1"/>
                </a:solidFill>
              </a:ln>
              <a:effectLst/>
            </c:spPr>
            <c:extLst>
              <c:ext xmlns:c16="http://schemas.microsoft.com/office/drawing/2014/chart" uri="{C3380CC4-5D6E-409C-BE32-E72D297353CC}">
                <c16:uniqueId val="{00000009-6897-4677-8B11-3D8B6A610CDD}"/>
              </c:ext>
            </c:extLst>
          </c:dPt>
          <c:dPt>
            <c:idx val="5"/>
            <c:bubble3D val="0"/>
            <c:spPr>
              <a:solidFill>
                <a:srgbClr val="E4E4E4"/>
              </a:solidFill>
              <a:ln w="19050">
                <a:solidFill>
                  <a:schemeClr val="lt1"/>
                </a:solidFill>
              </a:ln>
              <a:effectLst/>
            </c:spPr>
            <c:extLst>
              <c:ext xmlns:c16="http://schemas.microsoft.com/office/drawing/2014/chart" uri="{C3380CC4-5D6E-409C-BE32-E72D297353CC}">
                <c16:uniqueId val="{0000000B-6897-4677-8B11-3D8B6A610CDD}"/>
              </c:ext>
            </c:extLst>
          </c:dPt>
          <c:cat>
            <c:strRef>
              <c:f>Calculations!$I$35:$I$40</c:f>
              <c:strCache>
                <c:ptCount val="6"/>
                <c:pt idx="0">
                  <c:v>Food</c:v>
                </c:pt>
                <c:pt idx="1">
                  <c:v>Media</c:v>
                </c:pt>
                <c:pt idx="2">
                  <c:v>Trips/Outings</c:v>
                </c:pt>
                <c:pt idx="5">
                  <c:v>Other</c:v>
                </c:pt>
              </c:strCache>
            </c:strRef>
          </c:cat>
          <c:val>
            <c:numRef>
              <c:f>Calculations!$J$35:$J$40</c:f>
              <c:numCache>
                <c:formatCode>_(* #,##0_);_(* \(#,##0\);_(* "-"??_);_(@_)</c:formatCode>
                <c:ptCount val="6"/>
                <c:pt idx="0">
                  <c:v>73.97</c:v>
                </c:pt>
                <c:pt idx="1">
                  <c:v>16.18</c:v>
                </c:pt>
                <c:pt idx="2">
                  <c:v>10</c:v>
                </c:pt>
                <c:pt idx="3">
                  <c:v>0</c:v>
                </c:pt>
                <c:pt idx="4">
                  <c:v>0</c:v>
                </c:pt>
                <c:pt idx="5">
                  <c:v>98.78</c:v>
                </c:pt>
              </c:numCache>
            </c:numRef>
          </c:val>
          <c:extLst>
            <c:ext xmlns:c16="http://schemas.microsoft.com/office/drawing/2014/chart" uri="{C3380CC4-5D6E-409C-BE32-E72D297353CC}">
              <c16:uniqueId val="{0000000C-6897-4677-8B11-3D8B6A610C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EB0-4E70-B8BC-21EDC13DB001}"/>
              </c:ext>
            </c:extLst>
          </c:dPt>
          <c:dPt>
            <c:idx val="1"/>
            <c:bubble3D val="0"/>
            <c:spPr>
              <a:solidFill>
                <a:srgbClr val="0088EE"/>
              </a:solidFill>
              <a:ln w="19050">
                <a:solidFill>
                  <a:schemeClr val="lt1"/>
                </a:solidFill>
              </a:ln>
              <a:effectLst/>
            </c:spPr>
            <c:extLst>
              <c:ext xmlns:c16="http://schemas.microsoft.com/office/drawing/2014/chart" uri="{C3380CC4-5D6E-409C-BE32-E72D297353CC}">
                <c16:uniqueId val="{00000003-CEB0-4E70-B8BC-21EDC13DB001}"/>
              </c:ext>
            </c:extLst>
          </c:dPt>
          <c:dPt>
            <c:idx val="2"/>
            <c:bubble3D val="0"/>
            <c:spPr>
              <a:solidFill>
                <a:srgbClr val="33A8FF"/>
              </a:solidFill>
              <a:ln w="19050">
                <a:solidFill>
                  <a:schemeClr val="lt1"/>
                </a:solidFill>
              </a:ln>
              <a:effectLst/>
            </c:spPr>
            <c:extLst>
              <c:ext xmlns:c16="http://schemas.microsoft.com/office/drawing/2014/chart" uri="{C3380CC4-5D6E-409C-BE32-E72D297353CC}">
                <c16:uniqueId val="{00000005-CEB0-4E70-B8BC-21EDC13DB001}"/>
              </c:ext>
            </c:extLst>
          </c:dPt>
          <c:dPt>
            <c:idx val="3"/>
            <c:bubble3D val="0"/>
            <c:spPr>
              <a:solidFill>
                <a:srgbClr val="75C4FF"/>
              </a:solidFill>
              <a:ln w="19050">
                <a:solidFill>
                  <a:schemeClr val="lt1"/>
                </a:solidFill>
              </a:ln>
              <a:effectLst/>
            </c:spPr>
            <c:extLst>
              <c:ext xmlns:c16="http://schemas.microsoft.com/office/drawing/2014/chart" uri="{C3380CC4-5D6E-409C-BE32-E72D297353CC}">
                <c16:uniqueId val="{00000007-CEB0-4E70-B8BC-21EDC13DB001}"/>
              </c:ext>
            </c:extLst>
          </c:dPt>
          <c:dPt>
            <c:idx val="4"/>
            <c:bubble3D val="0"/>
            <c:spPr>
              <a:solidFill>
                <a:srgbClr val="B3DEFF"/>
              </a:solidFill>
              <a:ln w="19050">
                <a:solidFill>
                  <a:schemeClr val="lt1"/>
                </a:solidFill>
              </a:ln>
              <a:effectLst/>
            </c:spPr>
            <c:extLst>
              <c:ext xmlns:c16="http://schemas.microsoft.com/office/drawing/2014/chart" uri="{C3380CC4-5D6E-409C-BE32-E72D297353CC}">
                <c16:uniqueId val="{00000009-CEB0-4E70-B8BC-21EDC13DB001}"/>
              </c:ext>
            </c:extLst>
          </c:dPt>
          <c:dPt>
            <c:idx val="5"/>
            <c:bubble3D val="0"/>
            <c:spPr>
              <a:solidFill>
                <a:srgbClr val="E4E4E4"/>
              </a:solidFill>
              <a:ln w="19050">
                <a:solidFill>
                  <a:schemeClr val="lt1"/>
                </a:solidFill>
              </a:ln>
              <a:effectLst/>
            </c:spPr>
            <c:extLst>
              <c:ext xmlns:c16="http://schemas.microsoft.com/office/drawing/2014/chart" uri="{C3380CC4-5D6E-409C-BE32-E72D297353CC}">
                <c16:uniqueId val="{0000000B-CEB0-4E70-B8BC-21EDC13DB001}"/>
              </c:ext>
            </c:extLst>
          </c:dPt>
          <c:cat>
            <c:strRef>
              <c:f>Calculations!$M$35:$M$40</c:f>
            </c:strRef>
          </c:cat>
          <c:val>
            <c:numRef>
              <c:f>Calculations!$N$35:$N$40</c:f>
              <c:numCache>
                <c:formatCode>_(* #,##0_);_(* \(#,##0\);_(* "-"??_);_(@_)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CEB0-4E70-B8BC-21EDC13DB0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B050"/>
            </a:solidFill>
            <a:ln>
              <a:noFill/>
            </a:ln>
            <a:effectLst/>
          </c:spPr>
          <c:invertIfNegative val="0"/>
          <c:dPt>
            <c:idx val="0"/>
            <c:invertIfNegative val="0"/>
            <c:bubble3D val="0"/>
            <c:spPr>
              <a:solidFill>
                <a:srgbClr val="00EE6C"/>
              </a:solidFill>
              <a:ln>
                <a:noFill/>
              </a:ln>
              <a:effectLst/>
            </c:spPr>
            <c:extLst>
              <c:ext xmlns:c16="http://schemas.microsoft.com/office/drawing/2014/chart" uri="{C3380CC4-5D6E-409C-BE32-E72D297353CC}">
                <c16:uniqueId val="{00000001-E7A9-4005-800E-4403F2FF8A6E}"/>
              </c:ext>
            </c:extLst>
          </c:dPt>
          <c:dPt>
            <c:idx val="1"/>
            <c:invertIfNegative val="0"/>
            <c:bubble3D val="0"/>
            <c:spPr>
              <a:solidFill>
                <a:srgbClr val="FF0066"/>
              </a:solidFill>
              <a:ln>
                <a:noFill/>
              </a:ln>
              <a:effectLst/>
            </c:spPr>
            <c:extLst>
              <c:ext xmlns:c16="http://schemas.microsoft.com/office/drawing/2014/chart" uri="{C3380CC4-5D6E-409C-BE32-E72D297353CC}">
                <c16:uniqueId val="{00000003-E7A9-4005-800E-4403F2FF8A6E}"/>
              </c:ext>
            </c:extLst>
          </c:dPt>
          <c:dPt>
            <c:idx val="2"/>
            <c:invertIfNegative val="0"/>
            <c:bubble3D val="0"/>
            <c:spPr>
              <a:solidFill>
                <a:srgbClr val="0091FE"/>
              </a:solidFill>
              <a:ln>
                <a:noFill/>
              </a:ln>
              <a:effectLst/>
            </c:spPr>
            <c:extLst>
              <c:ext xmlns:c16="http://schemas.microsoft.com/office/drawing/2014/chart" uri="{C3380CC4-5D6E-409C-BE32-E72D297353CC}">
                <c16:uniqueId val="{00000005-E7A9-4005-800E-4403F2FF8A6E}"/>
              </c:ext>
            </c:extLst>
          </c:dPt>
          <c:dPt>
            <c:idx val="4"/>
            <c:invertIfNegative val="0"/>
            <c:bubble3D val="0"/>
            <c:spPr>
              <a:solidFill>
                <a:srgbClr val="00EE6C"/>
              </a:solidFill>
              <a:ln>
                <a:noFill/>
              </a:ln>
              <a:effectLst/>
            </c:spPr>
            <c:extLst>
              <c:ext xmlns:c16="http://schemas.microsoft.com/office/drawing/2014/chart" uri="{C3380CC4-5D6E-409C-BE32-E72D297353CC}">
                <c16:uniqueId val="{00000007-E7A9-4005-800E-4403F2FF8A6E}"/>
              </c:ext>
            </c:extLst>
          </c:dPt>
          <c:dPt>
            <c:idx val="5"/>
            <c:invertIfNegative val="0"/>
            <c:bubble3D val="0"/>
            <c:spPr>
              <a:solidFill>
                <a:srgbClr val="FF0066"/>
              </a:solidFill>
              <a:ln>
                <a:noFill/>
              </a:ln>
              <a:effectLst/>
            </c:spPr>
            <c:extLst>
              <c:ext xmlns:c16="http://schemas.microsoft.com/office/drawing/2014/chart" uri="{C3380CC4-5D6E-409C-BE32-E72D297353CC}">
                <c16:uniqueId val="{00000009-E7A9-4005-800E-4403F2FF8A6E}"/>
              </c:ext>
            </c:extLst>
          </c:dPt>
          <c:dPt>
            <c:idx val="6"/>
            <c:invertIfNegative val="0"/>
            <c:bubble3D val="0"/>
            <c:spPr>
              <a:solidFill>
                <a:srgbClr val="0091FE"/>
              </a:solidFill>
              <a:ln>
                <a:noFill/>
              </a:ln>
              <a:effectLst/>
            </c:spPr>
            <c:extLst>
              <c:ext xmlns:c16="http://schemas.microsoft.com/office/drawing/2014/chart" uri="{C3380CC4-5D6E-409C-BE32-E72D297353CC}">
                <c16:uniqueId val="{0000000B-E7A9-4005-800E-4403F2FF8A6E}"/>
              </c:ext>
            </c:extLst>
          </c:dPt>
          <c:dPt>
            <c:idx val="8"/>
            <c:invertIfNegative val="0"/>
            <c:bubble3D val="0"/>
            <c:spPr>
              <a:solidFill>
                <a:srgbClr val="00EE6C"/>
              </a:solidFill>
              <a:ln>
                <a:noFill/>
              </a:ln>
              <a:effectLst/>
            </c:spPr>
            <c:extLst>
              <c:ext xmlns:c16="http://schemas.microsoft.com/office/drawing/2014/chart" uri="{C3380CC4-5D6E-409C-BE32-E72D297353CC}">
                <c16:uniqueId val="{0000000D-E7A9-4005-800E-4403F2FF8A6E}"/>
              </c:ext>
            </c:extLst>
          </c:dPt>
          <c:dPt>
            <c:idx val="9"/>
            <c:invertIfNegative val="0"/>
            <c:bubble3D val="0"/>
            <c:spPr>
              <a:solidFill>
                <a:srgbClr val="FF0066"/>
              </a:solidFill>
              <a:ln>
                <a:noFill/>
              </a:ln>
              <a:effectLst/>
            </c:spPr>
            <c:extLst>
              <c:ext xmlns:c16="http://schemas.microsoft.com/office/drawing/2014/chart" uri="{C3380CC4-5D6E-409C-BE32-E72D297353CC}">
                <c16:uniqueId val="{0000000F-E7A9-4005-800E-4403F2FF8A6E}"/>
              </c:ext>
            </c:extLst>
          </c:dPt>
          <c:dPt>
            <c:idx val="10"/>
            <c:invertIfNegative val="0"/>
            <c:bubble3D val="0"/>
            <c:spPr>
              <a:solidFill>
                <a:srgbClr val="0091FE"/>
              </a:solidFill>
              <a:ln>
                <a:noFill/>
              </a:ln>
              <a:effectLst/>
            </c:spPr>
            <c:extLst>
              <c:ext xmlns:c16="http://schemas.microsoft.com/office/drawing/2014/chart" uri="{C3380CC4-5D6E-409C-BE32-E72D297353CC}">
                <c16:uniqueId val="{00000011-E7A9-4005-800E-4403F2FF8A6E}"/>
              </c:ext>
            </c:extLst>
          </c:dPt>
          <c:dPt>
            <c:idx val="12"/>
            <c:invertIfNegative val="0"/>
            <c:bubble3D val="0"/>
            <c:spPr>
              <a:solidFill>
                <a:srgbClr val="00EE6C"/>
              </a:solidFill>
              <a:ln>
                <a:noFill/>
              </a:ln>
              <a:effectLst/>
            </c:spPr>
            <c:extLst>
              <c:ext xmlns:c16="http://schemas.microsoft.com/office/drawing/2014/chart" uri="{C3380CC4-5D6E-409C-BE32-E72D297353CC}">
                <c16:uniqueId val="{00000013-E7A9-4005-800E-4403F2FF8A6E}"/>
              </c:ext>
            </c:extLst>
          </c:dPt>
          <c:dPt>
            <c:idx val="13"/>
            <c:invertIfNegative val="0"/>
            <c:bubble3D val="0"/>
            <c:spPr>
              <a:solidFill>
                <a:srgbClr val="FF0066"/>
              </a:solidFill>
              <a:ln>
                <a:noFill/>
              </a:ln>
              <a:effectLst/>
            </c:spPr>
            <c:extLst>
              <c:ext xmlns:c16="http://schemas.microsoft.com/office/drawing/2014/chart" uri="{C3380CC4-5D6E-409C-BE32-E72D297353CC}">
                <c16:uniqueId val="{00000015-E7A9-4005-800E-4403F2FF8A6E}"/>
              </c:ext>
            </c:extLst>
          </c:dPt>
          <c:dPt>
            <c:idx val="14"/>
            <c:invertIfNegative val="0"/>
            <c:bubble3D val="0"/>
            <c:spPr>
              <a:solidFill>
                <a:srgbClr val="0091FE"/>
              </a:solidFill>
              <a:ln>
                <a:noFill/>
              </a:ln>
              <a:effectLst/>
            </c:spPr>
            <c:extLst>
              <c:ext xmlns:c16="http://schemas.microsoft.com/office/drawing/2014/chart" uri="{C3380CC4-5D6E-409C-BE32-E72D297353CC}">
                <c16:uniqueId val="{00000017-E7A9-4005-800E-4403F2FF8A6E}"/>
              </c:ext>
            </c:extLst>
          </c:dPt>
          <c:dPt>
            <c:idx val="16"/>
            <c:invertIfNegative val="0"/>
            <c:bubble3D val="0"/>
            <c:spPr>
              <a:solidFill>
                <a:srgbClr val="00EE6C"/>
              </a:solidFill>
              <a:ln>
                <a:noFill/>
              </a:ln>
              <a:effectLst/>
            </c:spPr>
            <c:extLst>
              <c:ext xmlns:c16="http://schemas.microsoft.com/office/drawing/2014/chart" uri="{C3380CC4-5D6E-409C-BE32-E72D297353CC}">
                <c16:uniqueId val="{00000019-E7A9-4005-800E-4403F2FF8A6E}"/>
              </c:ext>
            </c:extLst>
          </c:dPt>
          <c:dPt>
            <c:idx val="17"/>
            <c:invertIfNegative val="0"/>
            <c:bubble3D val="0"/>
            <c:spPr>
              <a:solidFill>
                <a:srgbClr val="FF0066"/>
              </a:solidFill>
              <a:ln>
                <a:noFill/>
              </a:ln>
              <a:effectLst/>
            </c:spPr>
            <c:extLst>
              <c:ext xmlns:c16="http://schemas.microsoft.com/office/drawing/2014/chart" uri="{C3380CC4-5D6E-409C-BE32-E72D297353CC}">
                <c16:uniqueId val="{0000001B-E7A9-4005-800E-4403F2FF8A6E}"/>
              </c:ext>
            </c:extLst>
          </c:dPt>
          <c:dPt>
            <c:idx val="18"/>
            <c:invertIfNegative val="0"/>
            <c:bubble3D val="0"/>
            <c:spPr>
              <a:solidFill>
                <a:srgbClr val="0091FE"/>
              </a:solidFill>
              <a:ln>
                <a:noFill/>
              </a:ln>
              <a:effectLst/>
            </c:spPr>
            <c:extLst>
              <c:ext xmlns:c16="http://schemas.microsoft.com/office/drawing/2014/chart" uri="{C3380CC4-5D6E-409C-BE32-E72D297353CC}">
                <c16:uniqueId val="{0000001D-E7A9-4005-800E-4403F2FF8A6E}"/>
              </c:ext>
            </c:extLst>
          </c:dPt>
          <c:dPt>
            <c:idx val="20"/>
            <c:invertIfNegative val="0"/>
            <c:bubble3D val="0"/>
            <c:spPr>
              <a:solidFill>
                <a:srgbClr val="00EE6C"/>
              </a:solidFill>
              <a:ln>
                <a:noFill/>
              </a:ln>
              <a:effectLst/>
            </c:spPr>
            <c:extLst>
              <c:ext xmlns:c16="http://schemas.microsoft.com/office/drawing/2014/chart" uri="{C3380CC4-5D6E-409C-BE32-E72D297353CC}">
                <c16:uniqueId val="{0000001F-E7A9-4005-800E-4403F2FF8A6E}"/>
              </c:ext>
            </c:extLst>
          </c:dPt>
          <c:dPt>
            <c:idx val="21"/>
            <c:invertIfNegative val="0"/>
            <c:bubble3D val="0"/>
            <c:spPr>
              <a:solidFill>
                <a:srgbClr val="FF0066"/>
              </a:solidFill>
              <a:ln>
                <a:noFill/>
              </a:ln>
              <a:effectLst/>
            </c:spPr>
            <c:extLst>
              <c:ext xmlns:c16="http://schemas.microsoft.com/office/drawing/2014/chart" uri="{C3380CC4-5D6E-409C-BE32-E72D297353CC}">
                <c16:uniqueId val="{00000021-E7A9-4005-800E-4403F2FF8A6E}"/>
              </c:ext>
            </c:extLst>
          </c:dPt>
          <c:dPt>
            <c:idx val="22"/>
            <c:invertIfNegative val="0"/>
            <c:bubble3D val="0"/>
            <c:spPr>
              <a:solidFill>
                <a:srgbClr val="0091FE"/>
              </a:solidFill>
              <a:ln>
                <a:noFill/>
              </a:ln>
              <a:effectLst/>
            </c:spPr>
            <c:extLst>
              <c:ext xmlns:c16="http://schemas.microsoft.com/office/drawing/2014/chart" uri="{C3380CC4-5D6E-409C-BE32-E72D297353CC}">
                <c16:uniqueId val="{00000023-E7A9-4005-800E-4403F2FF8A6E}"/>
              </c:ext>
            </c:extLst>
          </c:dPt>
          <c:dPt>
            <c:idx val="24"/>
            <c:invertIfNegative val="0"/>
            <c:bubble3D val="0"/>
            <c:spPr>
              <a:solidFill>
                <a:srgbClr val="00EE6C"/>
              </a:solidFill>
              <a:ln>
                <a:noFill/>
              </a:ln>
              <a:effectLst/>
            </c:spPr>
            <c:extLst>
              <c:ext xmlns:c16="http://schemas.microsoft.com/office/drawing/2014/chart" uri="{C3380CC4-5D6E-409C-BE32-E72D297353CC}">
                <c16:uniqueId val="{00000025-E7A9-4005-800E-4403F2FF8A6E}"/>
              </c:ext>
            </c:extLst>
          </c:dPt>
          <c:dPt>
            <c:idx val="25"/>
            <c:invertIfNegative val="0"/>
            <c:bubble3D val="0"/>
            <c:spPr>
              <a:solidFill>
                <a:srgbClr val="FF0066"/>
              </a:solidFill>
              <a:ln>
                <a:noFill/>
              </a:ln>
              <a:effectLst/>
            </c:spPr>
            <c:extLst>
              <c:ext xmlns:c16="http://schemas.microsoft.com/office/drawing/2014/chart" uri="{C3380CC4-5D6E-409C-BE32-E72D297353CC}">
                <c16:uniqueId val="{00000027-E7A9-4005-800E-4403F2FF8A6E}"/>
              </c:ext>
            </c:extLst>
          </c:dPt>
          <c:dPt>
            <c:idx val="26"/>
            <c:invertIfNegative val="0"/>
            <c:bubble3D val="0"/>
            <c:spPr>
              <a:solidFill>
                <a:srgbClr val="0091FE"/>
              </a:solidFill>
              <a:ln>
                <a:noFill/>
              </a:ln>
              <a:effectLst/>
            </c:spPr>
            <c:extLst>
              <c:ext xmlns:c16="http://schemas.microsoft.com/office/drawing/2014/chart" uri="{C3380CC4-5D6E-409C-BE32-E72D297353CC}">
                <c16:uniqueId val="{00000029-E7A9-4005-800E-4403F2FF8A6E}"/>
              </c:ext>
            </c:extLst>
          </c:dPt>
          <c:dPt>
            <c:idx val="28"/>
            <c:invertIfNegative val="0"/>
            <c:bubble3D val="0"/>
            <c:spPr>
              <a:solidFill>
                <a:srgbClr val="00EE6C"/>
              </a:solidFill>
              <a:ln>
                <a:noFill/>
              </a:ln>
              <a:effectLst/>
            </c:spPr>
            <c:extLst>
              <c:ext xmlns:c16="http://schemas.microsoft.com/office/drawing/2014/chart" uri="{C3380CC4-5D6E-409C-BE32-E72D297353CC}">
                <c16:uniqueId val="{0000002B-E7A9-4005-800E-4403F2FF8A6E}"/>
              </c:ext>
            </c:extLst>
          </c:dPt>
          <c:dPt>
            <c:idx val="29"/>
            <c:invertIfNegative val="0"/>
            <c:bubble3D val="0"/>
            <c:spPr>
              <a:solidFill>
                <a:srgbClr val="FF0066"/>
              </a:solidFill>
              <a:ln>
                <a:noFill/>
              </a:ln>
              <a:effectLst/>
            </c:spPr>
            <c:extLst>
              <c:ext xmlns:c16="http://schemas.microsoft.com/office/drawing/2014/chart" uri="{C3380CC4-5D6E-409C-BE32-E72D297353CC}">
                <c16:uniqueId val="{0000002D-E7A9-4005-800E-4403F2FF8A6E}"/>
              </c:ext>
            </c:extLst>
          </c:dPt>
          <c:dPt>
            <c:idx val="30"/>
            <c:invertIfNegative val="0"/>
            <c:bubble3D val="0"/>
            <c:spPr>
              <a:solidFill>
                <a:srgbClr val="0091FE"/>
              </a:solidFill>
              <a:ln>
                <a:noFill/>
              </a:ln>
              <a:effectLst/>
            </c:spPr>
            <c:extLst>
              <c:ext xmlns:c16="http://schemas.microsoft.com/office/drawing/2014/chart" uri="{C3380CC4-5D6E-409C-BE32-E72D297353CC}">
                <c16:uniqueId val="{0000002F-E7A9-4005-800E-4403F2FF8A6E}"/>
              </c:ext>
            </c:extLst>
          </c:dPt>
          <c:dPt>
            <c:idx val="32"/>
            <c:invertIfNegative val="0"/>
            <c:bubble3D val="0"/>
            <c:spPr>
              <a:solidFill>
                <a:srgbClr val="00EE6C"/>
              </a:solidFill>
              <a:ln>
                <a:noFill/>
              </a:ln>
              <a:effectLst/>
            </c:spPr>
            <c:extLst>
              <c:ext xmlns:c16="http://schemas.microsoft.com/office/drawing/2014/chart" uri="{C3380CC4-5D6E-409C-BE32-E72D297353CC}">
                <c16:uniqueId val="{00000031-E7A9-4005-800E-4403F2FF8A6E}"/>
              </c:ext>
            </c:extLst>
          </c:dPt>
          <c:dPt>
            <c:idx val="33"/>
            <c:invertIfNegative val="0"/>
            <c:bubble3D val="0"/>
            <c:spPr>
              <a:solidFill>
                <a:srgbClr val="FF0066"/>
              </a:solidFill>
              <a:ln>
                <a:noFill/>
              </a:ln>
              <a:effectLst/>
            </c:spPr>
            <c:extLst>
              <c:ext xmlns:c16="http://schemas.microsoft.com/office/drawing/2014/chart" uri="{C3380CC4-5D6E-409C-BE32-E72D297353CC}">
                <c16:uniqueId val="{00000033-E7A9-4005-800E-4403F2FF8A6E}"/>
              </c:ext>
            </c:extLst>
          </c:dPt>
          <c:dPt>
            <c:idx val="34"/>
            <c:invertIfNegative val="0"/>
            <c:bubble3D val="0"/>
            <c:spPr>
              <a:solidFill>
                <a:srgbClr val="0091FE"/>
              </a:solidFill>
              <a:ln>
                <a:noFill/>
              </a:ln>
              <a:effectLst/>
            </c:spPr>
            <c:extLst>
              <c:ext xmlns:c16="http://schemas.microsoft.com/office/drawing/2014/chart" uri="{C3380CC4-5D6E-409C-BE32-E72D297353CC}">
                <c16:uniqueId val="{00000035-E7A9-4005-800E-4403F2FF8A6E}"/>
              </c:ext>
            </c:extLst>
          </c:dPt>
          <c:dPt>
            <c:idx val="36"/>
            <c:invertIfNegative val="0"/>
            <c:bubble3D val="0"/>
            <c:spPr>
              <a:solidFill>
                <a:srgbClr val="00EE6C"/>
              </a:solidFill>
              <a:ln>
                <a:noFill/>
              </a:ln>
              <a:effectLst/>
            </c:spPr>
            <c:extLst>
              <c:ext xmlns:c16="http://schemas.microsoft.com/office/drawing/2014/chart" uri="{C3380CC4-5D6E-409C-BE32-E72D297353CC}">
                <c16:uniqueId val="{00000037-E7A9-4005-800E-4403F2FF8A6E}"/>
              </c:ext>
            </c:extLst>
          </c:dPt>
          <c:dPt>
            <c:idx val="37"/>
            <c:invertIfNegative val="0"/>
            <c:bubble3D val="0"/>
            <c:spPr>
              <a:solidFill>
                <a:srgbClr val="FF0066"/>
              </a:solidFill>
              <a:ln>
                <a:noFill/>
              </a:ln>
              <a:effectLst/>
            </c:spPr>
            <c:extLst>
              <c:ext xmlns:c16="http://schemas.microsoft.com/office/drawing/2014/chart" uri="{C3380CC4-5D6E-409C-BE32-E72D297353CC}">
                <c16:uniqueId val="{00000039-E7A9-4005-800E-4403F2FF8A6E}"/>
              </c:ext>
            </c:extLst>
          </c:dPt>
          <c:dPt>
            <c:idx val="38"/>
            <c:invertIfNegative val="0"/>
            <c:bubble3D val="0"/>
            <c:spPr>
              <a:solidFill>
                <a:srgbClr val="0091FE"/>
              </a:solidFill>
              <a:ln>
                <a:noFill/>
              </a:ln>
              <a:effectLst/>
            </c:spPr>
            <c:extLst>
              <c:ext xmlns:c16="http://schemas.microsoft.com/office/drawing/2014/chart" uri="{C3380CC4-5D6E-409C-BE32-E72D297353CC}">
                <c16:uniqueId val="{0000003B-E7A9-4005-800E-4403F2FF8A6E}"/>
              </c:ext>
            </c:extLst>
          </c:dPt>
          <c:dPt>
            <c:idx val="40"/>
            <c:invertIfNegative val="0"/>
            <c:bubble3D val="0"/>
            <c:spPr>
              <a:solidFill>
                <a:srgbClr val="00EE6C"/>
              </a:solidFill>
              <a:ln>
                <a:noFill/>
              </a:ln>
              <a:effectLst/>
            </c:spPr>
            <c:extLst>
              <c:ext xmlns:c16="http://schemas.microsoft.com/office/drawing/2014/chart" uri="{C3380CC4-5D6E-409C-BE32-E72D297353CC}">
                <c16:uniqueId val="{0000003D-E7A9-4005-800E-4403F2FF8A6E}"/>
              </c:ext>
            </c:extLst>
          </c:dPt>
          <c:dPt>
            <c:idx val="41"/>
            <c:invertIfNegative val="0"/>
            <c:bubble3D val="0"/>
            <c:spPr>
              <a:solidFill>
                <a:srgbClr val="FF0066"/>
              </a:solidFill>
              <a:ln>
                <a:noFill/>
              </a:ln>
              <a:effectLst/>
            </c:spPr>
            <c:extLst>
              <c:ext xmlns:c16="http://schemas.microsoft.com/office/drawing/2014/chart" uri="{C3380CC4-5D6E-409C-BE32-E72D297353CC}">
                <c16:uniqueId val="{0000003F-E7A9-4005-800E-4403F2FF8A6E}"/>
              </c:ext>
            </c:extLst>
          </c:dPt>
          <c:dPt>
            <c:idx val="42"/>
            <c:invertIfNegative val="0"/>
            <c:bubble3D val="0"/>
            <c:spPr>
              <a:solidFill>
                <a:srgbClr val="0091FE"/>
              </a:solidFill>
              <a:ln>
                <a:noFill/>
              </a:ln>
              <a:effectLst/>
            </c:spPr>
            <c:extLst>
              <c:ext xmlns:c16="http://schemas.microsoft.com/office/drawing/2014/chart" uri="{C3380CC4-5D6E-409C-BE32-E72D297353CC}">
                <c16:uniqueId val="{00000041-E7A9-4005-800E-4403F2FF8A6E}"/>
              </c:ext>
            </c:extLst>
          </c:dPt>
          <c:dPt>
            <c:idx val="44"/>
            <c:invertIfNegative val="0"/>
            <c:bubble3D val="0"/>
            <c:spPr>
              <a:solidFill>
                <a:srgbClr val="00EE6C"/>
              </a:solidFill>
              <a:ln>
                <a:noFill/>
              </a:ln>
              <a:effectLst/>
            </c:spPr>
            <c:extLst>
              <c:ext xmlns:c16="http://schemas.microsoft.com/office/drawing/2014/chart" uri="{C3380CC4-5D6E-409C-BE32-E72D297353CC}">
                <c16:uniqueId val="{00000043-E7A9-4005-800E-4403F2FF8A6E}"/>
              </c:ext>
            </c:extLst>
          </c:dPt>
          <c:dPt>
            <c:idx val="45"/>
            <c:invertIfNegative val="0"/>
            <c:bubble3D val="0"/>
            <c:spPr>
              <a:solidFill>
                <a:srgbClr val="FF0066"/>
              </a:solidFill>
              <a:ln>
                <a:noFill/>
              </a:ln>
              <a:effectLst/>
            </c:spPr>
            <c:extLst>
              <c:ext xmlns:c16="http://schemas.microsoft.com/office/drawing/2014/chart" uri="{C3380CC4-5D6E-409C-BE32-E72D297353CC}">
                <c16:uniqueId val="{00000045-E7A9-4005-800E-4403F2FF8A6E}"/>
              </c:ext>
            </c:extLst>
          </c:dPt>
          <c:dPt>
            <c:idx val="46"/>
            <c:invertIfNegative val="0"/>
            <c:bubble3D val="0"/>
            <c:spPr>
              <a:solidFill>
                <a:srgbClr val="0091FE"/>
              </a:solidFill>
              <a:ln>
                <a:noFill/>
              </a:ln>
              <a:effectLst/>
            </c:spPr>
            <c:extLst>
              <c:ext xmlns:c16="http://schemas.microsoft.com/office/drawing/2014/chart" uri="{C3380CC4-5D6E-409C-BE32-E72D297353CC}">
                <c16:uniqueId val="{00000047-E7A9-4005-800E-4403F2FF8A6E}"/>
              </c:ext>
            </c:extLst>
          </c:dPt>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Calculations!$M$55:$M$102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760.47</c:v>
                </c:pt>
                <c:pt idx="25">
                  <c:v>198.93</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48-E7A9-4005-800E-4403F2FF8A6E}"/>
            </c:ext>
          </c:extLst>
        </c:ser>
        <c:ser>
          <c:idx val="1"/>
          <c:order val="1"/>
          <c:spPr>
            <a:solidFill>
              <a:srgbClr val="D1FFE6"/>
            </a:solidFill>
            <a:ln>
              <a:noFill/>
            </a:ln>
            <a:effectLst/>
          </c:spPr>
          <c:invertIfNegative val="0"/>
          <c:dPt>
            <c:idx val="1"/>
            <c:invertIfNegative val="0"/>
            <c:bubble3D val="0"/>
            <c:spPr>
              <a:solidFill>
                <a:srgbClr val="FFC5DC"/>
              </a:solidFill>
              <a:ln>
                <a:noFill/>
              </a:ln>
              <a:effectLst/>
            </c:spPr>
            <c:extLst>
              <c:ext xmlns:c16="http://schemas.microsoft.com/office/drawing/2014/chart" uri="{C3380CC4-5D6E-409C-BE32-E72D297353CC}">
                <c16:uniqueId val="{0000004A-E7A9-4005-800E-4403F2FF8A6E}"/>
              </c:ext>
            </c:extLst>
          </c:dPt>
          <c:dPt>
            <c:idx val="2"/>
            <c:invertIfNegative val="0"/>
            <c:bubble3D val="0"/>
            <c:spPr>
              <a:solidFill>
                <a:srgbClr val="AFDDFF"/>
              </a:solidFill>
              <a:ln>
                <a:noFill/>
              </a:ln>
              <a:effectLst/>
            </c:spPr>
            <c:extLst>
              <c:ext xmlns:c16="http://schemas.microsoft.com/office/drawing/2014/chart" uri="{C3380CC4-5D6E-409C-BE32-E72D297353CC}">
                <c16:uniqueId val="{0000004C-E7A9-4005-800E-4403F2FF8A6E}"/>
              </c:ext>
            </c:extLst>
          </c:dPt>
          <c:dPt>
            <c:idx val="5"/>
            <c:invertIfNegative val="0"/>
            <c:bubble3D val="0"/>
            <c:spPr>
              <a:solidFill>
                <a:srgbClr val="FFC5DC"/>
              </a:solidFill>
              <a:ln>
                <a:noFill/>
              </a:ln>
              <a:effectLst/>
            </c:spPr>
            <c:extLst>
              <c:ext xmlns:c16="http://schemas.microsoft.com/office/drawing/2014/chart" uri="{C3380CC4-5D6E-409C-BE32-E72D297353CC}">
                <c16:uniqueId val="{0000004E-E7A9-4005-800E-4403F2FF8A6E}"/>
              </c:ext>
            </c:extLst>
          </c:dPt>
          <c:dPt>
            <c:idx val="6"/>
            <c:invertIfNegative val="0"/>
            <c:bubble3D val="0"/>
            <c:spPr>
              <a:solidFill>
                <a:srgbClr val="AFDDFF"/>
              </a:solidFill>
              <a:ln>
                <a:noFill/>
              </a:ln>
              <a:effectLst/>
            </c:spPr>
            <c:extLst>
              <c:ext xmlns:c16="http://schemas.microsoft.com/office/drawing/2014/chart" uri="{C3380CC4-5D6E-409C-BE32-E72D297353CC}">
                <c16:uniqueId val="{00000050-E7A9-4005-800E-4403F2FF8A6E}"/>
              </c:ext>
            </c:extLst>
          </c:dPt>
          <c:dPt>
            <c:idx val="9"/>
            <c:invertIfNegative val="0"/>
            <c:bubble3D val="0"/>
            <c:spPr>
              <a:solidFill>
                <a:srgbClr val="FFC5DC"/>
              </a:solidFill>
              <a:ln>
                <a:noFill/>
              </a:ln>
              <a:effectLst/>
            </c:spPr>
            <c:extLst>
              <c:ext xmlns:c16="http://schemas.microsoft.com/office/drawing/2014/chart" uri="{C3380CC4-5D6E-409C-BE32-E72D297353CC}">
                <c16:uniqueId val="{00000052-E7A9-4005-800E-4403F2FF8A6E}"/>
              </c:ext>
            </c:extLst>
          </c:dPt>
          <c:dPt>
            <c:idx val="10"/>
            <c:invertIfNegative val="0"/>
            <c:bubble3D val="0"/>
            <c:spPr>
              <a:solidFill>
                <a:srgbClr val="AFDDFF"/>
              </a:solidFill>
              <a:ln>
                <a:noFill/>
              </a:ln>
              <a:effectLst/>
            </c:spPr>
            <c:extLst>
              <c:ext xmlns:c16="http://schemas.microsoft.com/office/drawing/2014/chart" uri="{C3380CC4-5D6E-409C-BE32-E72D297353CC}">
                <c16:uniqueId val="{00000054-E7A9-4005-800E-4403F2FF8A6E}"/>
              </c:ext>
            </c:extLst>
          </c:dPt>
          <c:dPt>
            <c:idx val="13"/>
            <c:invertIfNegative val="0"/>
            <c:bubble3D val="0"/>
            <c:spPr>
              <a:solidFill>
                <a:srgbClr val="FFC5DC"/>
              </a:solidFill>
              <a:ln>
                <a:noFill/>
              </a:ln>
              <a:effectLst/>
            </c:spPr>
            <c:extLst>
              <c:ext xmlns:c16="http://schemas.microsoft.com/office/drawing/2014/chart" uri="{C3380CC4-5D6E-409C-BE32-E72D297353CC}">
                <c16:uniqueId val="{00000056-E7A9-4005-800E-4403F2FF8A6E}"/>
              </c:ext>
            </c:extLst>
          </c:dPt>
          <c:dPt>
            <c:idx val="14"/>
            <c:invertIfNegative val="0"/>
            <c:bubble3D val="0"/>
            <c:spPr>
              <a:solidFill>
                <a:srgbClr val="AFDDFF"/>
              </a:solidFill>
              <a:ln>
                <a:noFill/>
              </a:ln>
              <a:effectLst/>
            </c:spPr>
            <c:extLst>
              <c:ext xmlns:c16="http://schemas.microsoft.com/office/drawing/2014/chart" uri="{C3380CC4-5D6E-409C-BE32-E72D297353CC}">
                <c16:uniqueId val="{00000058-E7A9-4005-800E-4403F2FF8A6E}"/>
              </c:ext>
            </c:extLst>
          </c:dPt>
          <c:dPt>
            <c:idx val="17"/>
            <c:invertIfNegative val="0"/>
            <c:bubble3D val="0"/>
            <c:spPr>
              <a:solidFill>
                <a:srgbClr val="FFC5DC"/>
              </a:solidFill>
              <a:ln>
                <a:noFill/>
              </a:ln>
              <a:effectLst/>
            </c:spPr>
            <c:extLst>
              <c:ext xmlns:c16="http://schemas.microsoft.com/office/drawing/2014/chart" uri="{C3380CC4-5D6E-409C-BE32-E72D297353CC}">
                <c16:uniqueId val="{0000005A-E7A9-4005-800E-4403F2FF8A6E}"/>
              </c:ext>
            </c:extLst>
          </c:dPt>
          <c:dPt>
            <c:idx val="18"/>
            <c:invertIfNegative val="0"/>
            <c:bubble3D val="0"/>
            <c:spPr>
              <a:solidFill>
                <a:srgbClr val="AFDDFF"/>
              </a:solidFill>
              <a:ln>
                <a:noFill/>
              </a:ln>
              <a:effectLst/>
            </c:spPr>
            <c:extLst>
              <c:ext xmlns:c16="http://schemas.microsoft.com/office/drawing/2014/chart" uri="{C3380CC4-5D6E-409C-BE32-E72D297353CC}">
                <c16:uniqueId val="{0000005C-E7A9-4005-800E-4403F2FF8A6E}"/>
              </c:ext>
            </c:extLst>
          </c:dPt>
          <c:dPt>
            <c:idx val="21"/>
            <c:invertIfNegative val="0"/>
            <c:bubble3D val="0"/>
            <c:spPr>
              <a:solidFill>
                <a:srgbClr val="FFC5DC"/>
              </a:solidFill>
              <a:ln>
                <a:noFill/>
              </a:ln>
              <a:effectLst/>
            </c:spPr>
            <c:extLst>
              <c:ext xmlns:c16="http://schemas.microsoft.com/office/drawing/2014/chart" uri="{C3380CC4-5D6E-409C-BE32-E72D297353CC}">
                <c16:uniqueId val="{0000005E-E7A9-4005-800E-4403F2FF8A6E}"/>
              </c:ext>
            </c:extLst>
          </c:dPt>
          <c:dPt>
            <c:idx val="22"/>
            <c:invertIfNegative val="0"/>
            <c:bubble3D val="0"/>
            <c:spPr>
              <a:solidFill>
                <a:srgbClr val="AFDDFF"/>
              </a:solidFill>
              <a:ln>
                <a:noFill/>
              </a:ln>
              <a:effectLst/>
            </c:spPr>
            <c:extLst>
              <c:ext xmlns:c16="http://schemas.microsoft.com/office/drawing/2014/chart" uri="{C3380CC4-5D6E-409C-BE32-E72D297353CC}">
                <c16:uniqueId val="{00000060-E7A9-4005-800E-4403F2FF8A6E}"/>
              </c:ext>
            </c:extLst>
          </c:dPt>
          <c:dPt>
            <c:idx val="25"/>
            <c:invertIfNegative val="0"/>
            <c:bubble3D val="0"/>
            <c:spPr>
              <a:solidFill>
                <a:srgbClr val="FFC5DC"/>
              </a:solidFill>
              <a:ln>
                <a:noFill/>
              </a:ln>
              <a:effectLst/>
            </c:spPr>
            <c:extLst>
              <c:ext xmlns:c16="http://schemas.microsoft.com/office/drawing/2014/chart" uri="{C3380CC4-5D6E-409C-BE32-E72D297353CC}">
                <c16:uniqueId val="{00000062-E7A9-4005-800E-4403F2FF8A6E}"/>
              </c:ext>
            </c:extLst>
          </c:dPt>
          <c:dPt>
            <c:idx val="26"/>
            <c:invertIfNegative val="0"/>
            <c:bubble3D val="0"/>
            <c:spPr>
              <a:solidFill>
                <a:srgbClr val="AFDDFF"/>
              </a:solidFill>
              <a:ln>
                <a:noFill/>
              </a:ln>
              <a:effectLst/>
            </c:spPr>
            <c:extLst>
              <c:ext xmlns:c16="http://schemas.microsoft.com/office/drawing/2014/chart" uri="{C3380CC4-5D6E-409C-BE32-E72D297353CC}">
                <c16:uniqueId val="{00000064-E7A9-4005-800E-4403F2FF8A6E}"/>
              </c:ext>
            </c:extLst>
          </c:dPt>
          <c:dPt>
            <c:idx val="29"/>
            <c:invertIfNegative val="0"/>
            <c:bubble3D val="0"/>
            <c:spPr>
              <a:solidFill>
                <a:srgbClr val="FFC5DC"/>
              </a:solidFill>
              <a:ln>
                <a:noFill/>
              </a:ln>
              <a:effectLst/>
            </c:spPr>
            <c:extLst>
              <c:ext xmlns:c16="http://schemas.microsoft.com/office/drawing/2014/chart" uri="{C3380CC4-5D6E-409C-BE32-E72D297353CC}">
                <c16:uniqueId val="{00000066-E7A9-4005-800E-4403F2FF8A6E}"/>
              </c:ext>
            </c:extLst>
          </c:dPt>
          <c:dPt>
            <c:idx val="30"/>
            <c:invertIfNegative val="0"/>
            <c:bubble3D val="0"/>
            <c:spPr>
              <a:solidFill>
                <a:srgbClr val="AFDDFF"/>
              </a:solidFill>
              <a:ln>
                <a:noFill/>
              </a:ln>
              <a:effectLst/>
            </c:spPr>
            <c:extLst>
              <c:ext xmlns:c16="http://schemas.microsoft.com/office/drawing/2014/chart" uri="{C3380CC4-5D6E-409C-BE32-E72D297353CC}">
                <c16:uniqueId val="{00000068-E7A9-4005-800E-4403F2FF8A6E}"/>
              </c:ext>
            </c:extLst>
          </c:dPt>
          <c:dPt>
            <c:idx val="33"/>
            <c:invertIfNegative val="0"/>
            <c:bubble3D val="0"/>
            <c:spPr>
              <a:solidFill>
                <a:srgbClr val="FFC5DC"/>
              </a:solidFill>
              <a:ln>
                <a:noFill/>
              </a:ln>
              <a:effectLst/>
            </c:spPr>
            <c:extLst>
              <c:ext xmlns:c16="http://schemas.microsoft.com/office/drawing/2014/chart" uri="{C3380CC4-5D6E-409C-BE32-E72D297353CC}">
                <c16:uniqueId val="{0000006A-E7A9-4005-800E-4403F2FF8A6E}"/>
              </c:ext>
            </c:extLst>
          </c:dPt>
          <c:dPt>
            <c:idx val="34"/>
            <c:invertIfNegative val="0"/>
            <c:bubble3D val="0"/>
            <c:spPr>
              <a:solidFill>
                <a:srgbClr val="AFDDFF"/>
              </a:solidFill>
              <a:ln>
                <a:noFill/>
              </a:ln>
              <a:effectLst/>
            </c:spPr>
            <c:extLst>
              <c:ext xmlns:c16="http://schemas.microsoft.com/office/drawing/2014/chart" uri="{C3380CC4-5D6E-409C-BE32-E72D297353CC}">
                <c16:uniqueId val="{0000006C-E7A9-4005-800E-4403F2FF8A6E}"/>
              </c:ext>
            </c:extLst>
          </c:dPt>
          <c:dPt>
            <c:idx val="37"/>
            <c:invertIfNegative val="0"/>
            <c:bubble3D val="0"/>
            <c:spPr>
              <a:solidFill>
                <a:srgbClr val="FFC5DC"/>
              </a:solidFill>
              <a:ln>
                <a:noFill/>
              </a:ln>
              <a:effectLst/>
            </c:spPr>
            <c:extLst>
              <c:ext xmlns:c16="http://schemas.microsoft.com/office/drawing/2014/chart" uri="{C3380CC4-5D6E-409C-BE32-E72D297353CC}">
                <c16:uniqueId val="{0000006E-E7A9-4005-800E-4403F2FF8A6E}"/>
              </c:ext>
            </c:extLst>
          </c:dPt>
          <c:dPt>
            <c:idx val="38"/>
            <c:invertIfNegative val="0"/>
            <c:bubble3D val="0"/>
            <c:spPr>
              <a:solidFill>
                <a:srgbClr val="AFDDFF"/>
              </a:solidFill>
              <a:ln>
                <a:noFill/>
              </a:ln>
              <a:effectLst/>
            </c:spPr>
            <c:extLst>
              <c:ext xmlns:c16="http://schemas.microsoft.com/office/drawing/2014/chart" uri="{C3380CC4-5D6E-409C-BE32-E72D297353CC}">
                <c16:uniqueId val="{00000070-E7A9-4005-800E-4403F2FF8A6E}"/>
              </c:ext>
            </c:extLst>
          </c:dPt>
          <c:dPt>
            <c:idx val="41"/>
            <c:invertIfNegative val="0"/>
            <c:bubble3D val="0"/>
            <c:spPr>
              <a:solidFill>
                <a:srgbClr val="FFC5DC"/>
              </a:solidFill>
              <a:ln>
                <a:noFill/>
              </a:ln>
              <a:effectLst/>
            </c:spPr>
            <c:extLst>
              <c:ext xmlns:c16="http://schemas.microsoft.com/office/drawing/2014/chart" uri="{C3380CC4-5D6E-409C-BE32-E72D297353CC}">
                <c16:uniqueId val="{00000072-E7A9-4005-800E-4403F2FF8A6E}"/>
              </c:ext>
            </c:extLst>
          </c:dPt>
          <c:dPt>
            <c:idx val="42"/>
            <c:invertIfNegative val="0"/>
            <c:bubble3D val="0"/>
            <c:spPr>
              <a:solidFill>
                <a:srgbClr val="AFDDFF"/>
              </a:solidFill>
              <a:ln>
                <a:noFill/>
              </a:ln>
              <a:effectLst/>
            </c:spPr>
            <c:extLst>
              <c:ext xmlns:c16="http://schemas.microsoft.com/office/drawing/2014/chart" uri="{C3380CC4-5D6E-409C-BE32-E72D297353CC}">
                <c16:uniqueId val="{00000074-E7A9-4005-800E-4403F2FF8A6E}"/>
              </c:ext>
            </c:extLst>
          </c:dPt>
          <c:dPt>
            <c:idx val="45"/>
            <c:invertIfNegative val="0"/>
            <c:bubble3D val="0"/>
            <c:spPr>
              <a:solidFill>
                <a:srgbClr val="FFC5DC"/>
              </a:solidFill>
              <a:ln>
                <a:noFill/>
              </a:ln>
              <a:effectLst/>
            </c:spPr>
            <c:extLst>
              <c:ext xmlns:c16="http://schemas.microsoft.com/office/drawing/2014/chart" uri="{C3380CC4-5D6E-409C-BE32-E72D297353CC}">
                <c16:uniqueId val="{00000076-E7A9-4005-800E-4403F2FF8A6E}"/>
              </c:ext>
            </c:extLst>
          </c:dPt>
          <c:dPt>
            <c:idx val="46"/>
            <c:invertIfNegative val="0"/>
            <c:bubble3D val="0"/>
            <c:spPr>
              <a:solidFill>
                <a:srgbClr val="AFDDFF"/>
              </a:solidFill>
              <a:ln>
                <a:noFill/>
              </a:ln>
              <a:effectLst/>
            </c:spPr>
            <c:extLst>
              <c:ext xmlns:c16="http://schemas.microsoft.com/office/drawing/2014/chart" uri="{C3380CC4-5D6E-409C-BE32-E72D297353CC}">
                <c16:uniqueId val="{00000078-E7A9-4005-800E-4403F2FF8A6E}"/>
              </c:ext>
            </c:extLst>
          </c:dPt>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Calculations!$N$55:$N$102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851.53</c:v>
                </c:pt>
                <c:pt idx="25">
                  <c:v>866.06999999999994</c:v>
                </c:pt>
                <c:pt idx="26">
                  <c:v>696.5</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79-E7A9-4005-800E-4403F2FF8A6E}"/>
            </c:ext>
          </c:extLst>
        </c:ser>
        <c:ser>
          <c:idx val="2"/>
          <c:order val="2"/>
          <c:spPr>
            <a:solidFill>
              <a:srgbClr val="009E47"/>
            </a:solidFill>
            <a:ln>
              <a:noFill/>
            </a:ln>
            <a:effectLst/>
          </c:spPr>
          <c:invertIfNegative val="0"/>
          <c:dPt>
            <c:idx val="1"/>
            <c:invertIfNegative val="0"/>
            <c:bubble3D val="0"/>
            <c:spPr>
              <a:solidFill>
                <a:srgbClr val="C80051"/>
              </a:solidFill>
              <a:ln>
                <a:noFill/>
              </a:ln>
              <a:effectLst/>
            </c:spPr>
            <c:extLst>
              <c:ext xmlns:c16="http://schemas.microsoft.com/office/drawing/2014/chart" uri="{C3380CC4-5D6E-409C-BE32-E72D297353CC}">
                <c16:uniqueId val="{0000007B-E7A9-4005-800E-4403F2FF8A6E}"/>
              </c:ext>
            </c:extLst>
          </c:dPt>
          <c:dPt>
            <c:idx val="2"/>
            <c:invertIfNegative val="0"/>
            <c:bubble3D val="0"/>
            <c:spPr>
              <a:solidFill>
                <a:srgbClr val="005DA2"/>
              </a:solidFill>
              <a:ln>
                <a:noFill/>
              </a:ln>
              <a:effectLst/>
            </c:spPr>
            <c:extLst>
              <c:ext xmlns:c16="http://schemas.microsoft.com/office/drawing/2014/chart" uri="{C3380CC4-5D6E-409C-BE32-E72D297353CC}">
                <c16:uniqueId val="{0000007D-E7A9-4005-800E-4403F2FF8A6E}"/>
              </c:ext>
            </c:extLst>
          </c:dPt>
          <c:dPt>
            <c:idx val="5"/>
            <c:invertIfNegative val="0"/>
            <c:bubble3D val="0"/>
            <c:spPr>
              <a:solidFill>
                <a:srgbClr val="C80051"/>
              </a:solidFill>
              <a:ln>
                <a:noFill/>
              </a:ln>
              <a:effectLst/>
            </c:spPr>
            <c:extLst>
              <c:ext xmlns:c16="http://schemas.microsoft.com/office/drawing/2014/chart" uri="{C3380CC4-5D6E-409C-BE32-E72D297353CC}">
                <c16:uniqueId val="{0000007F-E7A9-4005-800E-4403F2FF8A6E}"/>
              </c:ext>
            </c:extLst>
          </c:dPt>
          <c:dPt>
            <c:idx val="6"/>
            <c:invertIfNegative val="0"/>
            <c:bubble3D val="0"/>
            <c:spPr>
              <a:solidFill>
                <a:srgbClr val="005DA2"/>
              </a:solidFill>
              <a:ln>
                <a:noFill/>
              </a:ln>
              <a:effectLst/>
            </c:spPr>
            <c:extLst>
              <c:ext xmlns:c16="http://schemas.microsoft.com/office/drawing/2014/chart" uri="{C3380CC4-5D6E-409C-BE32-E72D297353CC}">
                <c16:uniqueId val="{00000081-E7A9-4005-800E-4403F2FF8A6E}"/>
              </c:ext>
            </c:extLst>
          </c:dPt>
          <c:dPt>
            <c:idx val="9"/>
            <c:invertIfNegative val="0"/>
            <c:bubble3D val="0"/>
            <c:spPr>
              <a:solidFill>
                <a:srgbClr val="C80051"/>
              </a:solidFill>
              <a:ln>
                <a:noFill/>
              </a:ln>
              <a:effectLst/>
            </c:spPr>
            <c:extLst>
              <c:ext xmlns:c16="http://schemas.microsoft.com/office/drawing/2014/chart" uri="{C3380CC4-5D6E-409C-BE32-E72D297353CC}">
                <c16:uniqueId val="{00000083-E7A9-4005-800E-4403F2FF8A6E}"/>
              </c:ext>
            </c:extLst>
          </c:dPt>
          <c:dPt>
            <c:idx val="10"/>
            <c:invertIfNegative val="0"/>
            <c:bubble3D val="0"/>
            <c:spPr>
              <a:solidFill>
                <a:srgbClr val="005DA2"/>
              </a:solidFill>
              <a:ln>
                <a:noFill/>
              </a:ln>
              <a:effectLst/>
            </c:spPr>
            <c:extLst>
              <c:ext xmlns:c16="http://schemas.microsoft.com/office/drawing/2014/chart" uri="{C3380CC4-5D6E-409C-BE32-E72D297353CC}">
                <c16:uniqueId val="{00000085-E7A9-4005-800E-4403F2FF8A6E}"/>
              </c:ext>
            </c:extLst>
          </c:dPt>
          <c:dPt>
            <c:idx val="13"/>
            <c:invertIfNegative val="0"/>
            <c:bubble3D val="0"/>
            <c:spPr>
              <a:solidFill>
                <a:srgbClr val="C80051"/>
              </a:solidFill>
              <a:ln>
                <a:noFill/>
              </a:ln>
              <a:effectLst/>
            </c:spPr>
            <c:extLst>
              <c:ext xmlns:c16="http://schemas.microsoft.com/office/drawing/2014/chart" uri="{C3380CC4-5D6E-409C-BE32-E72D297353CC}">
                <c16:uniqueId val="{00000087-E7A9-4005-800E-4403F2FF8A6E}"/>
              </c:ext>
            </c:extLst>
          </c:dPt>
          <c:dPt>
            <c:idx val="14"/>
            <c:invertIfNegative val="0"/>
            <c:bubble3D val="0"/>
            <c:spPr>
              <a:solidFill>
                <a:srgbClr val="005DA2"/>
              </a:solidFill>
              <a:ln>
                <a:noFill/>
              </a:ln>
              <a:effectLst/>
            </c:spPr>
            <c:extLst>
              <c:ext xmlns:c16="http://schemas.microsoft.com/office/drawing/2014/chart" uri="{C3380CC4-5D6E-409C-BE32-E72D297353CC}">
                <c16:uniqueId val="{00000089-E7A9-4005-800E-4403F2FF8A6E}"/>
              </c:ext>
            </c:extLst>
          </c:dPt>
          <c:dPt>
            <c:idx val="17"/>
            <c:invertIfNegative val="0"/>
            <c:bubble3D val="0"/>
            <c:spPr>
              <a:solidFill>
                <a:srgbClr val="C80051"/>
              </a:solidFill>
              <a:ln>
                <a:noFill/>
              </a:ln>
              <a:effectLst/>
            </c:spPr>
            <c:extLst>
              <c:ext xmlns:c16="http://schemas.microsoft.com/office/drawing/2014/chart" uri="{C3380CC4-5D6E-409C-BE32-E72D297353CC}">
                <c16:uniqueId val="{0000008B-E7A9-4005-800E-4403F2FF8A6E}"/>
              </c:ext>
            </c:extLst>
          </c:dPt>
          <c:dPt>
            <c:idx val="18"/>
            <c:invertIfNegative val="0"/>
            <c:bubble3D val="0"/>
            <c:spPr>
              <a:solidFill>
                <a:srgbClr val="005DA2"/>
              </a:solidFill>
              <a:ln>
                <a:noFill/>
              </a:ln>
              <a:effectLst/>
            </c:spPr>
            <c:extLst>
              <c:ext xmlns:c16="http://schemas.microsoft.com/office/drawing/2014/chart" uri="{C3380CC4-5D6E-409C-BE32-E72D297353CC}">
                <c16:uniqueId val="{0000008D-E7A9-4005-800E-4403F2FF8A6E}"/>
              </c:ext>
            </c:extLst>
          </c:dPt>
          <c:dPt>
            <c:idx val="21"/>
            <c:invertIfNegative val="0"/>
            <c:bubble3D val="0"/>
            <c:spPr>
              <a:solidFill>
                <a:srgbClr val="C80051"/>
              </a:solidFill>
              <a:ln>
                <a:noFill/>
              </a:ln>
              <a:effectLst/>
            </c:spPr>
            <c:extLst>
              <c:ext xmlns:c16="http://schemas.microsoft.com/office/drawing/2014/chart" uri="{C3380CC4-5D6E-409C-BE32-E72D297353CC}">
                <c16:uniqueId val="{0000008F-E7A9-4005-800E-4403F2FF8A6E}"/>
              </c:ext>
            </c:extLst>
          </c:dPt>
          <c:dPt>
            <c:idx val="22"/>
            <c:invertIfNegative val="0"/>
            <c:bubble3D val="0"/>
            <c:spPr>
              <a:solidFill>
                <a:srgbClr val="005DA2"/>
              </a:solidFill>
              <a:ln>
                <a:noFill/>
              </a:ln>
              <a:effectLst/>
            </c:spPr>
            <c:extLst>
              <c:ext xmlns:c16="http://schemas.microsoft.com/office/drawing/2014/chart" uri="{C3380CC4-5D6E-409C-BE32-E72D297353CC}">
                <c16:uniqueId val="{00000091-E7A9-4005-800E-4403F2FF8A6E}"/>
              </c:ext>
            </c:extLst>
          </c:dPt>
          <c:dPt>
            <c:idx val="25"/>
            <c:invertIfNegative val="0"/>
            <c:bubble3D val="0"/>
            <c:spPr>
              <a:solidFill>
                <a:srgbClr val="C80051"/>
              </a:solidFill>
              <a:ln>
                <a:noFill/>
              </a:ln>
              <a:effectLst/>
            </c:spPr>
            <c:extLst>
              <c:ext xmlns:c16="http://schemas.microsoft.com/office/drawing/2014/chart" uri="{C3380CC4-5D6E-409C-BE32-E72D297353CC}">
                <c16:uniqueId val="{00000093-E7A9-4005-800E-4403F2FF8A6E}"/>
              </c:ext>
            </c:extLst>
          </c:dPt>
          <c:dPt>
            <c:idx val="26"/>
            <c:invertIfNegative val="0"/>
            <c:bubble3D val="0"/>
            <c:spPr>
              <a:solidFill>
                <a:srgbClr val="005DA2"/>
              </a:solidFill>
              <a:ln>
                <a:noFill/>
              </a:ln>
              <a:effectLst/>
            </c:spPr>
            <c:extLst>
              <c:ext xmlns:c16="http://schemas.microsoft.com/office/drawing/2014/chart" uri="{C3380CC4-5D6E-409C-BE32-E72D297353CC}">
                <c16:uniqueId val="{00000095-E7A9-4005-800E-4403F2FF8A6E}"/>
              </c:ext>
            </c:extLst>
          </c:dPt>
          <c:dPt>
            <c:idx val="29"/>
            <c:invertIfNegative val="0"/>
            <c:bubble3D val="0"/>
            <c:spPr>
              <a:solidFill>
                <a:srgbClr val="C80051"/>
              </a:solidFill>
              <a:ln>
                <a:noFill/>
              </a:ln>
              <a:effectLst/>
            </c:spPr>
            <c:extLst>
              <c:ext xmlns:c16="http://schemas.microsoft.com/office/drawing/2014/chart" uri="{C3380CC4-5D6E-409C-BE32-E72D297353CC}">
                <c16:uniqueId val="{00000097-E7A9-4005-800E-4403F2FF8A6E}"/>
              </c:ext>
            </c:extLst>
          </c:dPt>
          <c:dPt>
            <c:idx val="30"/>
            <c:invertIfNegative val="0"/>
            <c:bubble3D val="0"/>
            <c:spPr>
              <a:solidFill>
                <a:srgbClr val="005DA2"/>
              </a:solidFill>
              <a:ln>
                <a:noFill/>
              </a:ln>
              <a:effectLst/>
            </c:spPr>
            <c:extLst>
              <c:ext xmlns:c16="http://schemas.microsoft.com/office/drawing/2014/chart" uri="{C3380CC4-5D6E-409C-BE32-E72D297353CC}">
                <c16:uniqueId val="{00000099-E7A9-4005-800E-4403F2FF8A6E}"/>
              </c:ext>
            </c:extLst>
          </c:dPt>
          <c:dPt>
            <c:idx val="33"/>
            <c:invertIfNegative val="0"/>
            <c:bubble3D val="0"/>
            <c:spPr>
              <a:solidFill>
                <a:srgbClr val="C80051"/>
              </a:solidFill>
              <a:ln>
                <a:noFill/>
              </a:ln>
              <a:effectLst/>
            </c:spPr>
            <c:extLst>
              <c:ext xmlns:c16="http://schemas.microsoft.com/office/drawing/2014/chart" uri="{C3380CC4-5D6E-409C-BE32-E72D297353CC}">
                <c16:uniqueId val="{0000009B-E7A9-4005-800E-4403F2FF8A6E}"/>
              </c:ext>
            </c:extLst>
          </c:dPt>
          <c:dPt>
            <c:idx val="34"/>
            <c:invertIfNegative val="0"/>
            <c:bubble3D val="0"/>
            <c:spPr>
              <a:solidFill>
                <a:srgbClr val="005DA2"/>
              </a:solidFill>
              <a:ln>
                <a:noFill/>
              </a:ln>
              <a:effectLst/>
            </c:spPr>
            <c:extLst>
              <c:ext xmlns:c16="http://schemas.microsoft.com/office/drawing/2014/chart" uri="{C3380CC4-5D6E-409C-BE32-E72D297353CC}">
                <c16:uniqueId val="{0000009D-E7A9-4005-800E-4403F2FF8A6E}"/>
              </c:ext>
            </c:extLst>
          </c:dPt>
          <c:dPt>
            <c:idx val="37"/>
            <c:invertIfNegative val="0"/>
            <c:bubble3D val="0"/>
            <c:spPr>
              <a:solidFill>
                <a:srgbClr val="C80051"/>
              </a:solidFill>
              <a:ln>
                <a:noFill/>
              </a:ln>
              <a:effectLst/>
            </c:spPr>
            <c:extLst>
              <c:ext xmlns:c16="http://schemas.microsoft.com/office/drawing/2014/chart" uri="{C3380CC4-5D6E-409C-BE32-E72D297353CC}">
                <c16:uniqueId val="{0000009F-E7A9-4005-800E-4403F2FF8A6E}"/>
              </c:ext>
            </c:extLst>
          </c:dPt>
          <c:dPt>
            <c:idx val="38"/>
            <c:invertIfNegative val="0"/>
            <c:bubble3D val="0"/>
            <c:spPr>
              <a:solidFill>
                <a:srgbClr val="005DA2"/>
              </a:solidFill>
              <a:ln>
                <a:noFill/>
              </a:ln>
              <a:effectLst/>
            </c:spPr>
            <c:extLst>
              <c:ext xmlns:c16="http://schemas.microsoft.com/office/drawing/2014/chart" uri="{C3380CC4-5D6E-409C-BE32-E72D297353CC}">
                <c16:uniqueId val="{000000A1-E7A9-4005-800E-4403F2FF8A6E}"/>
              </c:ext>
            </c:extLst>
          </c:dPt>
          <c:dPt>
            <c:idx val="41"/>
            <c:invertIfNegative val="0"/>
            <c:bubble3D val="0"/>
            <c:spPr>
              <a:solidFill>
                <a:srgbClr val="C80051"/>
              </a:solidFill>
              <a:ln>
                <a:noFill/>
              </a:ln>
              <a:effectLst/>
            </c:spPr>
            <c:extLst>
              <c:ext xmlns:c16="http://schemas.microsoft.com/office/drawing/2014/chart" uri="{C3380CC4-5D6E-409C-BE32-E72D297353CC}">
                <c16:uniqueId val="{000000A3-E7A9-4005-800E-4403F2FF8A6E}"/>
              </c:ext>
            </c:extLst>
          </c:dPt>
          <c:dPt>
            <c:idx val="42"/>
            <c:invertIfNegative val="0"/>
            <c:bubble3D val="0"/>
            <c:spPr>
              <a:solidFill>
                <a:srgbClr val="005DA2"/>
              </a:solidFill>
              <a:ln>
                <a:noFill/>
              </a:ln>
              <a:effectLst/>
            </c:spPr>
            <c:extLst>
              <c:ext xmlns:c16="http://schemas.microsoft.com/office/drawing/2014/chart" uri="{C3380CC4-5D6E-409C-BE32-E72D297353CC}">
                <c16:uniqueId val="{000000A5-E7A9-4005-800E-4403F2FF8A6E}"/>
              </c:ext>
            </c:extLst>
          </c:dPt>
          <c:dPt>
            <c:idx val="45"/>
            <c:invertIfNegative val="0"/>
            <c:bubble3D val="0"/>
            <c:spPr>
              <a:solidFill>
                <a:srgbClr val="C80051"/>
              </a:solidFill>
              <a:ln>
                <a:noFill/>
              </a:ln>
              <a:effectLst/>
            </c:spPr>
            <c:extLst>
              <c:ext xmlns:c16="http://schemas.microsoft.com/office/drawing/2014/chart" uri="{C3380CC4-5D6E-409C-BE32-E72D297353CC}">
                <c16:uniqueId val="{000000A7-E7A9-4005-800E-4403F2FF8A6E}"/>
              </c:ext>
            </c:extLst>
          </c:dPt>
          <c:dPt>
            <c:idx val="46"/>
            <c:invertIfNegative val="0"/>
            <c:bubble3D val="0"/>
            <c:spPr>
              <a:solidFill>
                <a:srgbClr val="005DA2"/>
              </a:solidFill>
              <a:ln>
                <a:noFill/>
              </a:ln>
              <a:effectLst/>
            </c:spPr>
            <c:extLst>
              <c:ext xmlns:c16="http://schemas.microsoft.com/office/drawing/2014/chart" uri="{C3380CC4-5D6E-409C-BE32-E72D297353CC}">
                <c16:uniqueId val="{000000A9-E7A9-4005-800E-4403F2FF8A6E}"/>
              </c:ext>
            </c:extLst>
          </c:dPt>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Calculations!$O$55:$O$102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AA-E7A9-4005-800E-4403F2FF8A6E}"/>
            </c:ext>
          </c:extLst>
        </c:ser>
        <c:ser>
          <c:idx val="3"/>
          <c:order val="3"/>
          <c:spPr>
            <a:solidFill>
              <a:srgbClr val="E0E0E0"/>
            </a:solidFill>
            <a:ln>
              <a:noFill/>
            </a:ln>
            <a:effectLst/>
          </c:spPr>
          <c:invertIfNegative val="0"/>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Calculations!$P$55:$P$102</c:f>
              <c:numCache>
                <c:formatCode>_(* #,##0_);_(* \(#,##0\);_(* "-"??_);_(@_)</c:formatCode>
                <c:ptCount val="48"/>
                <c:pt idx="0">
                  <c:v>1612</c:v>
                </c:pt>
                <c:pt idx="1">
                  <c:v>1065</c:v>
                </c:pt>
                <c:pt idx="2">
                  <c:v>0</c:v>
                </c:pt>
                <c:pt idx="4">
                  <c:v>1612</c:v>
                </c:pt>
                <c:pt idx="5">
                  <c:v>4565</c:v>
                </c:pt>
                <c:pt idx="6">
                  <c:v>696.5</c:v>
                </c:pt>
                <c:pt idx="8">
                  <c:v>1612</c:v>
                </c:pt>
                <c:pt idx="9">
                  <c:v>1065</c:v>
                </c:pt>
                <c:pt idx="10">
                  <c:v>696.5</c:v>
                </c:pt>
                <c:pt idx="12">
                  <c:v>1612</c:v>
                </c:pt>
                <c:pt idx="13">
                  <c:v>1065</c:v>
                </c:pt>
                <c:pt idx="14">
                  <c:v>696.5</c:v>
                </c:pt>
                <c:pt idx="16">
                  <c:v>1612</c:v>
                </c:pt>
                <c:pt idx="17">
                  <c:v>1265</c:v>
                </c:pt>
                <c:pt idx="18">
                  <c:v>450.34000000000003</c:v>
                </c:pt>
                <c:pt idx="20">
                  <c:v>1612</c:v>
                </c:pt>
                <c:pt idx="21">
                  <c:v>1065</c:v>
                </c:pt>
                <c:pt idx="22">
                  <c:v>342</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AB-E7A9-4005-800E-4403F2FF8A6E}"/>
            </c:ext>
          </c:extLst>
        </c:ser>
        <c:ser>
          <c:idx val="4"/>
          <c:order val="4"/>
          <c:spPr>
            <a:solidFill>
              <a:srgbClr val="F3F3F3"/>
            </a:solidFill>
            <a:ln>
              <a:noFill/>
            </a:ln>
            <a:effectLst/>
          </c:spPr>
          <c:invertIfNegative val="0"/>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Calculations!$Q$55:$Q$102</c:f>
              <c:numCache>
                <c:formatCode>_(* #,##0_);_(* \(#,##0\);_(* "-"??_);_(@_)</c:formatCode>
                <c:ptCount val="48"/>
                <c:pt idx="0">
                  <c:v>0</c:v>
                </c:pt>
                <c:pt idx="1">
                  <c:v>0</c:v>
                </c:pt>
                <c:pt idx="2">
                  <c:v>697</c:v>
                </c:pt>
                <c:pt idx="4">
                  <c:v>0</c:v>
                </c:pt>
                <c:pt idx="5">
                  <c:v>0</c:v>
                </c:pt>
                <c:pt idx="6">
                  <c:v>0</c:v>
                </c:pt>
                <c:pt idx="8">
                  <c:v>0</c:v>
                </c:pt>
                <c:pt idx="9">
                  <c:v>0</c:v>
                </c:pt>
                <c:pt idx="10">
                  <c:v>0</c:v>
                </c:pt>
                <c:pt idx="12">
                  <c:v>0</c:v>
                </c:pt>
                <c:pt idx="13">
                  <c:v>0</c:v>
                </c:pt>
                <c:pt idx="14">
                  <c:v>0</c:v>
                </c:pt>
                <c:pt idx="16">
                  <c:v>0</c:v>
                </c:pt>
                <c:pt idx="17">
                  <c:v>0</c:v>
                </c:pt>
                <c:pt idx="18">
                  <c:v>46.159999999999968</c:v>
                </c:pt>
                <c:pt idx="20">
                  <c:v>0</c:v>
                </c:pt>
                <c:pt idx="21">
                  <c:v>0</c:v>
                </c:pt>
                <c:pt idx="22">
                  <c:v>354.5</c:v>
                </c:pt>
                <c:pt idx="24">
                  <c:v>0</c:v>
                </c:pt>
                <c:pt idx="25">
                  <c:v>0</c:v>
                </c:pt>
                <c:pt idx="26">
                  <c:v>0</c:v>
                </c:pt>
                <c:pt idx="28">
                  <c:v>1612</c:v>
                </c:pt>
                <c:pt idx="29">
                  <c:v>1065</c:v>
                </c:pt>
                <c:pt idx="30">
                  <c:v>696.5</c:v>
                </c:pt>
                <c:pt idx="32">
                  <c:v>1612</c:v>
                </c:pt>
                <c:pt idx="33">
                  <c:v>1065</c:v>
                </c:pt>
                <c:pt idx="34">
                  <c:v>696.5</c:v>
                </c:pt>
                <c:pt idx="36">
                  <c:v>1612</c:v>
                </c:pt>
                <c:pt idx="37">
                  <c:v>1065</c:v>
                </c:pt>
                <c:pt idx="38">
                  <c:v>697</c:v>
                </c:pt>
                <c:pt idx="40">
                  <c:v>1612</c:v>
                </c:pt>
                <c:pt idx="41">
                  <c:v>1065</c:v>
                </c:pt>
                <c:pt idx="42">
                  <c:v>697</c:v>
                </c:pt>
                <c:pt idx="44">
                  <c:v>1612</c:v>
                </c:pt>
                <c:pt idx="45">
                  <c:v>1065</c:v>
                </c:pt>
                <c:pt idx="46">
                  <c:v>697</c:v>
                </c:pt>
              </c:numCache>
            </c:numRef>
          </c:val>
          <c:extLst>
            <c:ext xmlns:c16="http://schemas.microsoft.com/office/drawing/2014/chart" uri="{C3380CC4-5D6E-409C-BE32-E72D297353CC}">
              <c16:uniqueId val="{000000AC-E7A9-4005-800E-4403F2FF8A6E}"/>
            </c:ext>
          </c:extLst>
        </c:ser>
        <c:ser>
          <c:idx val="5"/>
          <c:order val="5"/>
          <c:spPr>
            <a:solidFill>
              <a:srgbClr val="D3D3D3"/>
            </a:solidFill>
            <a:ln>
              <a:noFill/>
            </a:ln>
            <a:effectLst/>
          </c:spPr>
          <c:invertIfNegative val="0"/>
          <c:cat>
            <c:numRef>
              <c:f>Calculations!$D$55:$D$102</c:f>
              <c:numCache>
                <c:formatCode>mmm</c:formatCode>
                <c:ptCount val="48"/>
                <c:pt idx="0">
                  <c:v>46023</c:v>
                </c:pt>
                <c:pt idx="4">
                  <c:v>46054</c:v>
                </c:pt>
                <c:pt idx="8">
                  <c:v>46082</c:v>
                </c:pt>
                <c:pt idx="12">
                  <c:v>46113</c:v>
                </c:pt>
                <c:pt idx="16">
                  <c:v>46143</c:v>
                </c:pt>
                <c:pt idx="20">
                  <c:v>46174</c:v>
                </c:pt>
                <c:pt idx="24">
                  <c:v>46204</c:v>
                </c:pt>
                <c:pt idx="28">
                  <c:v>46235</c:v>
                </c:pt>
                <c:pt idx="32">
                  <c:v>46266</c:v>
                </c:pt>
                <c:pt idx="36">
                  <c:v>46296</c:v>
                </c:pt>
                <c:pt idx="40">
                  <c:v>46327</c:v>
                </c:pt>
                <c:pt idx="44">
                  <c:v>46357</c:v>
                </c:pt>
              </c:numCache>
            </c:numRef>
          </c:cat>
          <c:val>
            <c:numRef>
              <c:f>Calculations!$R$55:$R$102</c:f>
              <c:numCache>
                <c:formatCode>_(* #,##0_);_(* \(#,##0\);_(* "-"??_);_(@_)</c:formatCode>
                <c:ptCount val="48"/>
                <c:pt idx="0">
                  <c:v>1100.7600000000002</c:v>
                </c:pt>
                <c:pt idx="1">
                  <c:v>165.61999999999966</c:v>
                </c:pt>
                <c:pt idx="2">
                  <c:v>0</c:v>
                </c:pt>
                <c:pt idx="4">
                  <c:v>518.18000000000029</c:v>
                </c:pt>
                <c:pt idx="5">
                  <c:v>19.269999999997708</c:v>
                </c:pt>
                <c:pt idx="6">
                  <c:v>358.53</c:v>
                </c:pt>
                <c:pt idx="8">
                  <c:v>775.26000000000022</c:v>
                </c:pt>
                <c:pt idx="9">
                  <c:v>211.39999999999941</c:v>
                </c:pt>
                <c:pt idx="10">
                  <c:v>555.64999999999986</c:v>
                </c:pt>
                <c:pt idx="12">
                  <c:v>237.59000000000015</c:v>
                </c:pt>
                <c:pt idx="13">
                  <c:v>219.73000000000025</c:v>
                </c:pt>
                <c:pt idx="14">
                  <c:v>405.81999999999994</c:v>
                </c:pt>
                <c:pt idx="16">
                  <c:v>314.90000000000009</c:v>
                </c:pt>
                <c:pt idx="17">
                  <c:v>1058.1299999999997</c:v>
                </c:pt>
                <c:pt idx="18">
                  <c:v>0</c:v>
                </c:pt>
                <c:pt idx="20">
                  <c:v>590.69999999999982</c:v>
                </c:pt>
                <c:pt idx="21">
                  <c:v>1370.37</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AD-E7A9-4005-800E-4403F2FF8A6E}"/>
            </c:ext>
          </c:extLst>
        </c:ser>
        <c:dLbls>
          <c:showLegendKey val="0"/>
          <c:showVal val="0"/>
          <c:showCatName val="0"/>
          <c:showSerName val="0"/>
          <c:showPercent val="0"/>
          <c:showBubbleSize val="0"/>
        </c:dLbls>
        <c:gapWidth val="15"/>
        <c:overlap val="100"/>
        <c:axId val="572322400"/>
        <c:axId val="572323360"/>
      </c:barChart>
      <c:catAx>
        <c:axId val="572322400"/>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mn-lt"/>
                <a:ea typeface="+mn-ea"/>
                <a:cs typeface="+mn-cs"/>
              </a:defRPr>
            </a:pPr>
            <a:endParaRPr lang="en-US"/>
          </a:p>
        </c:txPr>
        <c:crossAx val="572323360"/>
        <c:crosses val="autoZero"/>
        <c:auto val="0"/>
        <c:lblAlgn val="ctr"/>
        <c:lblOffset val="100"/>
        <c:noMultiLvlLbl val="0"/>
      </c:catAx>
      <c:valAx>
        <c:axId val="572323360"/>
        <c:scaling>
          <c:orientation val="minMax"/>
          <c:max val="2200"/>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50000"/>
                  </a:schemeClr>
                </a:solidFill>
                <a:latin typeface="+mn-lt"/>
                <a:ea typeface="+mn-ea"/>
                <a:cs typeface="+mn-cs"/>
              </a:defRPr>
            </a:pPr>
            <a:endParaRPr lang="en-US"/>
          </a:p>
        </c:txPr>
        <c:crossAx val="57232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0.12903225806451613</c:v>
                </c:pt>
              </c:numCache>
            </c:numRef>
          </c:val>
          <c:extLst>
            <c:ext xmlns:c16="http://schemas.microsoft.com/office/drawing/2014/chart" uri="{C3380CC4-5D6E-409C-BE32-E72D297353CC}">
              <c16:uniqueId val="{00000000-AFE9-40D3-8F33-C86DB92ED5B8}"/>
            </c:ext>
          </c:extLst>
        </c:ser>
        <c:dLbls>
          <c:showLegendKey val="0"/>
          <c:showVal val="0"/>
          <c:showCatName val="0"/>
          <c:showSerName val="0"/>
          <c:showPercent val="0"/>
          <c:showBubbleSize val="0"/>
        </c:dLbls>
        <c:gapWidth val="0"/>
        <c:axId val="650854591"/>
        <c:axId val="650855071"/>
      </c:barChart>
      <c:catAx>
        <c:axId val="650854591"/>
        <c:scaling>
          <c:orientation val="minMax"/>
        </c:scaling>
        <c:delete val="1"/>
        <c:axPos val="l"/>
        <c:majorTickMark val="none"/>
        <c:minorTickMark val="none"/>
        <c:tickLblPos val="nextTo"/>
        <c:crossAx val="650855071"/>
        <c:crosses val="autoZero"/>
        <c:auto val="1"/>
        <c:lblAlgn val="ctr"/>
        <c:lblOffset val="100"/>
        <c:noMultiLvlLbl val="0"/>
      </c:catAx>
      <c:valAx>
        <c:axId val="650855071"/>
        <c:scaling>
          <c:orientation val="minMax"/>
          <c:max val="1"/>
        </c:scaling>
        <c:delete val="1"/>
        <c:axPos val="b"/>
        <c:numFmt formatCode="0%" sourceLinked="1"/>
        <c:majorTickMark val="none"/>
        <c:minorTickMark val="none"/>
        <c:tickLblPos val="nextTo"/>
        <c:crossAx val="6508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4"/>
          <c:order val="0"/>
          <c:tx>
            <c:v>Current</c:v>
          </c:tx>
          <c:spPr>
            <a:solidFill>
              <a:srgbClr val="00B050"/>
            </a:solidFill>
          </c:spPr>
          <c:invertIfNegative val="0"/>
          <c:val>
            <c:numRef>
              <c:f>'Savings Accounts'!$C$5</c:f>
              <c:numCache>
                <c:formatCode>_("$"* #,##0_);_("$"* \(#,##0\);_("$"* "-"??_);_(@_)</c:formatCode>
                <c:ptCount val="1"/>
                <c:pt idx="0">
                  <c:v>142</c:v>
                </c:pt>
              </c:numCache>
            </c:numRef>
          </c:val>
          <c:extLst>
            <c:ext xmlns:c16="http://schemas.microsoft.com/office/drawing/2014/chart" uri="{C3380CC4-5D6E-409C-BE32-E72D297353CC}">
              <c16:uniqueId val="{00000019-2CC0-43E1-A2D2-0DDA0E92E68F}"/>
            </c:ext>
          </c:extLst>
        </c:ser>
        <c:ser>
          <c:idx val="5"/>
          <c:order val="1"/>
          <c:tx>
            <c:v>Goal+'Savings Accounts 2'!$C$6</c:v>
          </c:tx>
          <c:spPr>
            <a:ln>
              <a:noFill/>
            </a:ln>
          </c:spPr>
          <c:invertIfNegative val="0"/>
          <c:dPt>
            <c:idx val="0"/>
            <c:invertIfNegative val="0"/>
            <c:bubble3D val="0"/>
            <c:spPr>
              <a:solidFill>
                <a:srgbClr val="D3F5D8"/>
              </a:solidFill>
              <a:ln>
                <a:noFill/>
              </a:ln>
            </c:spPr>
            <c:extLst>
              <c:ext xmlns:c16="http://schemas.microsoft.com/office/drawing/2014/chart" uri="{C3380CC4-5D6E-409C-BE32-E72D297353CC}">
                <c16:uniqueId val="{0000001B-2CC0-43E1-A2D2-0DDA0E92E68F}"/>
              </c:ext>
            </c:extLst>
          </c:dPt>
          <c:val>
            <c:numRef>
              <c:f>'Savings Accounts'!$C$6</c:f>
              <c:numCache>
                <c:formatCode>_("$"* #,##0_);_("$"* \(#,##0\);_("$"* "-"??_);_(@_)</c:formatCode>
                <c:ptCount val="1"/>
                <c:pt idx="0">
                  <c:v>9600</c:v>
                </c:pt>
              </c:numCache>
            </c:numRef>
          </c:val>
          <c:extLst>
            <c:ext xmlns:c16="http://schemas.microsoft.com/office/drawing/2014/chart" uri="{C3380CC4-5D6E-409C-BE32-E72D297353CC}">
              <c16:uniqueId val="{0000001A-2CC0-43E1-A2D2-0DDA0E92E68F}"/>
            </c:ext>
          </c:extLst>
        </c:ser>
        <c:ser>
          <c:idx val="6"/>
          <c:order val="2"/>
          <c:tx>
            <c:v>Current</c:v>
          </c:tx>
          <c:spPr>
            <a:solidFill>
              <a:srgbClr val="00B050"/>
            </a:solidFill>
            <a:ln>
              <a:noFill/>
            </a:ln>
            <a:effectLst/>
          </c:spPr>
          <c:invertIfNegative val="0"/>
          <c:val>
            <c:numRef>
              <c:f>'Savings Accounts'!$C$5</c:f>
              <c:numCache>
                <c:formatCode>_("$"* #,##0_);_("$"* \(#,##0\);_("$"* "-"??_);_(@_)</c:formatCode>
                <c:ptCount val="1"/>
                <c:pt idx="0">
                  <c:v>142</c:v>
                </c:pt>
              </c:numCache>
            </c:numRef>
          </c:val>
          <c:extLst>
            <c:ext xmlns:c16="http://schemas.microsoft.com/office/drawing/2014/chart" uri="{C3380CC4-5D6E-409C-BE32-E72D297353CC}">
              <c16:uniqueId val="{0000001C-2CC0-43E1-A2D2-0DDA0E92E68F}"/>
            </c:ext>
          </c:extLst>
        </c:ser>
        <c:ser>
          <c:idx val="7"/>
          <c:order val="3"/>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1E-2CC0-43E1-A2D2-0DDA0E92E68F}"/>
              </c:ext>
            </c:extLst>
          </c:dPt>
          <c:val>
            <c:numRef>
              <c:f>'Savings Accounts'!$C$6</c:f>
              <c:numCache>
                <c:formatCode>_("$"* #,##0_);_("$"* \(#,##0\);_("$"* "-"??_);_(@_)</c:formatCode>
                <c:ptCount val="1"/>
                <c:pt idx="0">
                  <c:v>9600</c:v>
                </c:pt>
              </c:numCache>
            </c:numRef>
          </c:val>
          <c:extLst>
            <c:ext xmlns:c16="http://schemas.microsoft.com/office/drawing/2014/chart" uri="{C3380CC4-5D6E-409C-BE32-E72D297353CC}">
              <c16:uniqueId val="{0000001D-2CC0-43E1-A2D2-0DDA0E92E68F}"/>
            </c:ext>
          </c:extLst>
        </c:ser>
        <c:ser>
          <c:idx val="2"/>
          <c:order val="4"/>
          <c:tx>
            <c:v>Current</c:v>
          </c:tx>
          <c:spPr>
            <a:solidFill>
              <a:srgbClr val="00B050"/>
            </a:solidFill>
          </c:spPr>
          <c:invertIfNegative val="0"/>
          <c:val>
            <c:numRef>
              <c:f>'Savings Accounts'!$C$5</c:f>
              <c:numCache>
                <c:formatCode>_("$"* #,##0_);_("$"* \(#,##0\);_("$"* "-"??_);_(@_)</c:formatCode>
                <c:ptCount val="1"/>
                <c:pt idx="0">
                  <c:v>142</c:v>
                </c:pt>
              </c:numCache>
            </c:numRef>
          </c:val>
          <c:extLst>
            <c:ext xmlns:c16="http://schemas.microsoft.com/office/drawing/2014/chart" uri="{C3380CC4-5D6E-409C-BE32-E72D297353CC}">
              <c16:uniqueId val="{0000000E-2CC0-43E1-A2D2-0DDA0E92E68F}"/>
            </c:ext>
          </c:extLst>
        </c:ser>
        <c:ser>
          <c:idx val="3"/>
          <c:order val="5"/>
          <c:tx>
            <c:v>Goal+'Savings Accounts 2'!$C$6</c:v>
          </c:tx>
          <c:spPr>
            <a:ln>
              <a:noFill/>
            </a:ln>
          </c:spPr>
          <c:invertIfNegative val="0"/>
          <c:dPt>
            <c:idx val="0"/>
            <c:invertIfNegative val="0"/>
            <c:bubble3D val="0"/>
            <c:spPr>
              <a:solidFill>
                <a:srgbClr val="D3F5D8"/>
              </a:solidFill>
              <a:ln>
                <a:noFill/>
              </a:ln>
            </c:spPr>
            <c:extLst>
              <c:ext xmlns:c16="http://schemas.microsoft.com/office/drawing/2014/chart" uri="{C3380CC4-5D6E-409C-BE32-E72D297353CC}">
                <c16:uniqueId val="{00000011-2CC0-43E1-A2D2-0DDA0E92E68F}"/>
              </c:ext>
            </c:extLst>
          </c:dPt>
          <c:val>
            <c:numRef>
              <c:f>'Savings Accounts'!$C$6</c:f>
              <c:numCache>
                <c:formatCode>_("$"* #,##0_);_("$"* \(#,##0\);_("$"* "-"??_);_(@_)</c:formatCode>
                <c:ptCount val="1"/>
                <c:pt idx="0">
                  <c:v>9600</c:v>
                </c:pt>
              </c:numCache>
            </c:numRef>
          </c:val>
          <c:extLst>
            <c:ext xmlns:c16="http://schemas.microsoft.com/office/drawing/2014/chart" uri="{C3380CC4-5D6E-409C-BE32-E72D297353CC}">
              <c16:uniqueId val="{00000012-2CC0-43E1-A2D2-0DDA0E92E68F}"/>
            </c:ext>
          </c:extLst>
        </c:ser>
        <c:ser>
          <c:idx val="1"/>
          <c:order val="6"/>
          <c:tx>
            <c:v>Current</c:v>
          </c:tx>
          <c:spPr>
            <a:solidFill>
              <a:srgbClr val="00B050"/>
            </a:solidFill>
            <a:ln>
              <a:noFill/>
            </a:ln>
            <a:effectLst/>
          </c:spPr>
          <c:invertIfNegative val="0"/>
          <c:val>
            <c:numRef>
              <c:f>'Savings Accounts'!$C$5</c:f>
              <c:numCache>
                <c:formatCode>_("$"* #,##0_);_("$"* \(#,##0\);_("$"* "-"??_);_(@_)</c:formatCode>
                <c:ptCount val="1"/>
                <c:pt idx="0">
                  <c:v>142</c:v>
                </c:pt>
              </c:numCache>
            </c:numRef>
          </c:val>
          <c:extLst>
            <c:ext xmlns:c16="http://schemas.microsoft.com/office/drawing/2014/chart" uri="{C3380CC4-5D6E-409C-BE32-E72D297353CC}">
              <c16:uniqueId val="{00000014-2CC0-43E1-A2D2-0DDA0E92E68F}"/>
            </c:ext>
          </c:extLst>
        </c:ser>
        <c:ser>
          <c:idx val="0"/>
          <c:order val="7"/>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17-2CC0-43E1-A2D2-0DDA0E92E68F}"/>
              </c:ext>
            </c:extLst>
          </c:dPt>
          <c:val>
            <c:numRef>
              <c:f>'Savings Accounts'!$C$6</c:f>
              <c:numCache>
                <c:formatCode>_("$"* #,##0_);_("$"* \(#,##0\);_("$"* "-"??_);_(@_)</c:formatCode>
                <c:ptCount val="1"/>
                <c:pt idx="0">
                  <c:v>9600</c:v>
                </c:pt>
              </c:numCache>
            </c:numRef>
          </c:val>
          <c:extLst>
            <c:ext xmlns:c16="http://schemas.microsoft.com/office/drawing/2014/chart" uri="{C3380CC4-5D6E-409C-BE32-E72D297353CC}">
              <c16:uniqueId val="{00000018-2CC0-43E1-A2D2-0DDA0E92E68F}"/>
            </c:ext>
          </c:extLst>
        </c:ser>
        <c:dLbls>
          <c:showLegendKey val="0"/>
          <c:showVal val="0"/>
          <c:showCatName val="0"/>
          <c:showSerName val="0"/>
          <c:showPercent val="0"/>
          <c:showBubbleSize val="0"/>
        </c:dLbls>
        <c:gapWidth val="30"/>
        <c:overlap val="100"/>
        <c:axId val="1175340943"/>
        <c:axId val="1175363023"/>
      </c:barChart>
      <c:catAx>
        <c:axId val="1175340943"/>
        <c:scaling>
          <c:orientation val="minMax"/>
        </c:scaling>
        <c:delete val="1"/>
        <c:axPos val="b"/>
        <c:majorTickMark val="none"/>
        <c:minorTickMark val="none"/>
        <c:tickLblPos val="nextTo"/>
        <c:crossAx val="1175363023"/>
        <c:crosses val="autoZero"/>
        <c:auto val="1"/>
        <c:lblAlgn val="ctr"/>
        <c:lblOffset val="100"/>
        <c:noMultiLvlLbl val="0"/>
      </c:catAx>
      <c:valAx>
        <c:axId val="1175363023"/>
        <c:scaling>
          <c:orientation val="minMax"/>
          <c:max val="9600"/>
          <c:min val="0"/>
        </c:scaling>
        <c:delete val="1"/>
        <c:axPos val="l"/>
        <c:numFmt formatCode="_(&quot;$&quot;* #,##0_);_(&quot;$&quot;* \(#,##0\);_(&quot;$&quot;* &quot;-&quot;??_);_(@_)" sourceLinked="1"/>
        <c:majorTickMark val="none"/>
        <c:minorTickMark val="none"/>
        <c:tickLblPos val="nextTo"/>
        <c:crossAx val="11753409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Current</c:v>
          </c:tx>
          <c:spPr>
            <a:solidFill>
              <a:srgbClr val="00B050"/>
            </a:solidFill>
            <a:ln>
              <a:noFill/>
            </a:ln>
            <a:effectLst/>
          </c:spPr>
          <c:invertIfNegative val="0"/>
          <c:val>
            <c:numRef>
              <c:f>'Savings Accounts'!$G$5</c:f>
              <c:numCache>
                <c:formatCode>_("$"* #,##0_);_("$"* \(#,##0\);_("$"* "-"??_);_(@_)</c:formatCode>
                <c:ptCount val="1"/>
              </c:numCache>
            </c:numRef>
          </c:val>
          <c:extLst>
            <c:ext xmlns:c16="http://schemas.microsoft.com/office/drawing/2014/chart" uri="{C3380CC4-5D6E-409C-BE32-E72D297353CC}">
              <c16:uniqueId val="{00000014-2CC0-43E1-A2D2-0DDA0E92E68F}"/>
            </c:ext>
          </c:extLst>
        </c:ser>
        <c:dLbls>
          <c:showLegendKey val="0"/>
          <c:showVal val="0"/>
          <c:showCatName val="0"/>
          <c:showSerName val="0"/>
          <c:showPercent val="0"/>
          <c:showBubbleSize val="0"/>
        </c:dLbls>
        <c:gapWidth val="30"/>
        <c:overlap val="100"/>
        <c:axId val="1175340943"/>
        <c:axId val="1175363023"/>
      </c:barChart>
      <c:barChart>
        <c:barDir val="col"/>
        <c:grouping val="stacked"/>
        <c:varyColors val="0"/>
        <c:ser>
          <c:idx val="0"/>
          <c:order val="1"/>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17-2CC0-43E1-A2D2-0DDA0E92E68F}"/>
              </c:ext>
            </c:extLst>
          </c:dPt>
          <c:val>
            <c:numRef>
              <c:f>'Savings Accounts'!$G$6</c:f>
              <c:numCache>
                <c:formatCode>_("$"* #,##0_);_("$"* \(#,##0\);_("$"* "-"??_);_(@_)</c:formatCode>
                <c:ptCount val="1"/>
                <c:pt idx="0">
                  <c:v>2000</c:v>
                </c:pt>
              </c:numCache>
            </c:numRef>
          </c:val>
          <c:extLst>
            <c:ext xmlns:c16="http://schemas.microsoft.com/office/drawing/2014/chart" uri="{C3380CC4-5D6E-409C-BE32-E72D297353CC}">
              <c16:uniqueId val="{00000018-2CC0-43E1-A2D2-0DDA0E92E68F}"/>
            </c:ext>
          </c:extLst>
        </c:ser>
        <c:dLbls>
          <c:showLegendKey val="0"/>
          <c:showVal val="0"/>
          <c:showCatName val="0"/>
          <c:showSerName val="0"/>
          <c:showPercent val="0"/>
          <c:showBubbleSize val="0"/>
        </c:dLbls>
        <c:gapWidth val="30"/>
        <c:overlap val="100"/>
        <c:axId val="574192047"/>
        <c:axId val="1367577615"/>
      </c:barChart>
      <c:catAx>
        <c:axId val="1175340943"/>
        <c:scaling>
          <c:orientation val="minMax"/>
        </c:scaling>
        <c:delete val="1"/>
        <c:axPos val="b"/>
        <c:majorTickMark val="none"/>
        <c:minorTickMark val="none"/>
        <c:tickLblPos val="nextTo"/>
        <c:crossAx val="1175363023"/>
        <c:crosses val="autoZero"/>
        <c:auto val="1"/>
        <c:lblAlgn val="ctr"/>
        <c:lblOffset val="100"/>
        <c:noMultiLvlLbl val="0"/>
      </c:catAx>
      <c:valAx>
        <c:axId val="1175363023"/>
        <c:scaling>
          <c:orientation val="minMax"/>
          <c:max val="2000"/>
          <c:min val="0"/>
        </c:scaling>
        <c:delete val="1"/>
        <c:axPos val="l"/>
        <c:numFmt formatCode="_(&quot;$&quot;* #,##0_);_(&quot;$&quot;* \(#,##0\);_(&quot;$&quot;* &quot;-&quot;??_);_(@_)" sourceLinked="1"/>
        <c:majorTickMark val="out"/>
        <c:minorTickMark val="none"/>
        <c:tickLblPos val="nextTo"/>
        <c:crossAx val="1175340943"/>
        <c:crosses val="autoZero"/>
        <c:crossBetween val="between"/>
      </c:valAx>
      <c:valAx>
        <c:axId val="1367577615"/>
        <c:scaling>
          <c:orientation val="minMax"/>
          <c:max val="10000"/>
        </c:scaling>
        <c:delete val="1"/>
        <c:axPos val="r"/>
        <c:numFmt formatCode="_(&quot;$&quot;* #,##0_);_(&quot;$&quot;* \(#,##0\);_(&quot;$&quot;* &quot;-&quot;??_);_(@_)" sourceLinked="1"/>
        <c:majorTickMark val="out"/>
        <c:minorTickMark val="none"/>
        <c:tickLblPos val="nextTo"/>
        <c:crossAx val="574192047"/>
        <c:crosses val="max"/>
        <c:crossBetween val="between"/>
      </c:valAx>
      <c:catAx>
        <c:axId val="574192047"/>
        <c:scaling>
          <c:orientation val="minMax"/>
        </c:scaling>
        <c:delete val="1"/>
        <c:axPos val="b"/>
        <c:majorTickMark val="out"/>
        <c:minorTickMark val="none"/>
        <c:tickLblPos val="nextTo"/>
        <c:crossAx val="1367577615"/>
        <c:crosses val="autoZero"/>
        <c:auto val="1"/>
        <c:lblAlgn val="ctr"/>
        <c:lblOffset val="100"/>
        <c:noMultiLvlLbl val="0"/>
      </c:cat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v>Current</c:v>
          </c:tx>
          <c:spPr>
            <a:solidFill>
              <a:srgbClr val="00B050"/>
            </a:solidFill>
            <a:ln>
              <a:noFill/>
            </a:ln>
            <a:effectLst/>
          </c:spPr>
          <c:invertIfNegative val="0"/>
          <c:val>
            <c:numRef>
              <c:f>'Savings Accounts'!$K$5</c:f>
              <c:numCache>
                <c:formatCode>_("$"* #,##0_);_("$"* \(#,##0\);_("$"* "-"??_);_(@_)</c:formatCode>
                <c:ptCount val="1"/>
              </c:numCache>
            </c:numRef>
          </c:val>
          <c:extLst>
            <c:ext xmlns:c16="http://schemas.microsoft.com/office/drawing/2014/chart" uri="{C3380CC4-5D6E-409C-BE32-E72D297353CC}">
              <c16:uniqueId val="{0000000E-ACA7-4560-A6E4-DD6F581E29B8}"/>
            </c:ext>
          </c:extLst>
        </c:ser>
        <c:ser>
          <c:idx val="3"/>
          <c:order val="1"/>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10-ACA7-4560-A6E4-DD6F581E29B8}"/>
              </c:ext>
            </c:extLst>
          </c:dPt>
          <c:val>
            <c:numRef>
              <c:f>'Savings Accounts'!$K$6</c:f>
              <c:numCache>
                <c:formatCode>_("$"* #,##0_);_("$"* \(#,##0\);_("$"* "-"??_);_(@_)</c:formatCode>
                <c:ptCount val="1"/>
              </c:numCache>
            </c:numRef>
          </c:val>
          <c:extLst>
            <c:ext xmlns:c16="http://schemas.microsoft.com/office/drawing/2014/chart" uri="{C3380CC4-5D6E-409C-BE32-E72D297353CC}">
              <c16:uniqueId val="{0000000F-ACA7-4560-A6E4-DD6F581E29B8}"/>
            </c:ext>
          </c:extLst>
        </c:ser>
        <c:ser>
          <c:idx val="1"/>
          <c:order val="2"/>
          <c:tx>
            <c:v>Current</c:v>
          </c:tx>
          <c:spPr>
            <a:solidFill>
              <a:srgbClr val="00B050"/>
            </a:solidFill>
            <a:ln>
              <a:noFill/>
            </a:ln>
            <a:effectLst/>
          </c:spPr>
          <c:invertIfNegative val="0"/>
          <c:val>
            <c:numRef>
              <c:f>'Savings Accounts'!$K$5</c:f>
              <c:numCache>
                <c:formatCode>_("$"* #,##0_);_("$"* \(#,##0\);_("$"* "-"??_);_(@_)</c:formatCode>
                <c:ptCount val="1"/>
              </c:numCache>
            </c:numRef>
          </c:val>
          <c:extLst>
            <c:ext xmlns:c16="http://schemas.microsoft.com/office/drawing/2014/chart" uri="{C3380CC4-5D6E-409C-BE32-E72D297353CC}">
              <c16:uniqueId val="{00000009-ACA7-4560-A6E4-DD6F581E29B8}"/>
            </c:ext>
          </c:extLst>
        </c:ser>
        <c:ser>
          <c:idx val="0"/>
          <c:order val="3"/>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0C-ACA7-4560-A6E4-DD6F581E29B8}"/>
              </c:ext>
            </c:extLst>
          </c:dPt>
          <c:val>
            <c:numRef>
              <c:f>'Savings Accounts'!$K$6</c:f>
              <c:numCache>
                <c:formatCode>_("$"* #,##0_);_("$"* \(#,##0\);_("$"* "-"??_);_(@_)</c:formatCode>
                <c:ptCount val="1"/>
              </c:numCache>
            </c:numRef>
          </c:val>
          <c:extLst>
            <c:ext xmlns:c16="http://schemas.microsoft.com/office/drawing/2014/chart" uri="{C3380CC4-5D6E-409C-BE32-E72D297353CC}">
              <c16:uniqueId val="{0000000D-ACA7-4560-A6E4-DD6F581E29B8}"/>
            </c:ext>
          </c:extLst>
        </c:ser>
        <c:dLbls>
          <c:showLegendKey val="0"/>
          <c:showVal val="0"/>
          <c:showCatName val="0"/>
          <c:showSerName val="0"/>
          <c:showPercent val="0"/>
          <c:showBubbleSize val="0"/>
        </c:dLbls>
        <c:gapWidth val="30"/>
        <c:overlap val="100"/>
        <c:axId val="1175340943"/>
        <c:axId val="1175363023"/>
      </c:barChart>
      <c:catAx>
        <c:axId val="1175340943"/>
        <c:scaling>
          <c:orientation val="minMax"/>
        </c:scaling>
        <c:delete val="1"/>
        <c:axPos val="b"/>
        <c:majorTickMark val="none"/>
        <c:minorTickMark val="none"/>
        <c:tickLblPos val="nextTo"/>
        <c:crossAx val="1175363023"/>
        <c:crosses val="autoZero"/>
        <c:auto val="1"/>
        <c:lblAlgn val="ctr"/>
        <c:lblOffset val="100"/>
        <c:noMultiLvlLbl val="0"/>
      </c:catAx>
      <c:valAx>
        <c:axId val="1175363023"/>
        <c:scaling>
          <c:orientation val="minMax"/>
          <c:max val="500"/>
          <c:min val="0"/>
        </c:scaling>
        <c:delete val="1"/>
        <c:axPos val="l"/>
        <c:numFmt formatCode="_(&quot;$&quot;* #,##0_);_(&quot;$&quot;* \(#,##0\);_(&quot;$&quot;* &quot;-&quot;??_);_(@_)" sourceLinked="1"/>
        <c:majorTickMark val="out"/>
        <c:minorTickMark val="none"/>
        <c:tickLblPos val="nextTo"/>
        <c:crossAx val="11753409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Current</c:v>
          </c:tx>
          <c:spPr>
            <a:solidFill>
              <a:srgbClr val="00B050"/>
            </a:solidFill>
            <a:ln>
              <a:noFill/>
            </a:ln>
            <a:effectLst/>
          </c:spPr>
          <c:invertIfNegative val="0"/>
          <c:val>
            <c:numRef>
              <c:f>'Savings Accounts'!$O$5</c:f>
              <c:numCache>
                <c:formatCode>_("$"* #,##0_);_("$"* \(#,##0\);_("$"* "-"??_);_(@_)</c:formatCode>
                <c:ptCount val="1"/>
              </c:numCache>
            </c:numRef>
          </c:val>
          <c:extLst>
            <c:ext xmlns:c16="http://schemas.microsoft.com/office/drawing/2014/chart" uri="{C3380CC4-5D6E-409C-BE32-E72D297353CC}">
              <c16:uniqueId val="{00000009-ACA7-4560-A6E4-DD6F581E29B8}"/>
            </c:ext>
          </c:extLst>
        </c:ser>
        <c:ser>
          <c:idx val="0"/>
          <c:order val="1"/>
          <c:tx>
            <c:v>Goal+'Savings Accounts 2'!$C$6</c:v>
          </c:tx>
          <c:spPr>
            <a:solidFill>
              <a:schemeClr val="accent1"/>
            </a:solidFill>
            <a:ln>
              <a:noFill/>
            </a:ln>
            <a:effectLst/>
          </c:spPr>
          <c:invertIfNegative val="0"/>
          <c:dPt>
            <c:idx val="0"/>
            <c:invertIfNegative val="0"/>
            <c:bubble3D val="0"/>
            <c:spPr>
              <a:solidFill>
                <a:srgbClr val="D3F5D8"/>
              </a:solidFill>
              <a:ln>
                <a:noFill/>
              </a:ln>
              <a:effectLst/>
            </c:spPr>
            <c:extLst>
              <c:ext xmlns:c16="http://schemas.microsoft.com/office/drawing/2014/chart" uri="{C3380CC4-5D6E-409C-BE32-E72D297353CC}">
                <c16:uniqueId val="{0000000C-ACA7-4560-A6E4-DD6F581E29B8}"/>
              </c:ext>
            </c:extLst>
          </c:dPt>
          <c:val>
            <c:numRef>
              <c:f>'Savings Accounts'!$O$6</c:f>
              <c:numCache>
                <c:formatCode>_("$"* #,##0_);_("$"* \(#,##0\);_("$"* "-"??_);_(@_)</c:formatCode>
                <c:ptCount val="1"/>
              </c:numCache>
            </c:numRef>
          </c:val>
          <c:extLst>
            <c:ext xmlns:c16="http://schemas.microsoft.com/office/drawing/2014/chart" uri="{C3380CC4-5D6E-409C-BE32-E72D297353CC}">
              <c16:uniqueId val="{0000000D-ACA7-4560-A6E4-DD6F581E29B8}"/>
            </c:ext>
          </c:extLst>
        </c:ser>
        <c:dLbls>
          <c:showLegendKey val="0"/>
          <c:showVal val="0"/>
          <c:showCatName val="0"/>
          <c:showSerName val="0"/>
          <c:showPercent val="0"/>
          <c:showBubbleSize val="0"/>
        </c:dLbls>
        <c:gapWidth val="30"/>
        <c:overlap val="100"/>
        <c:axId val="1175340943"/>
        <c:axId val="1175363023"/>
      </c:barChart>
      <c:catAx>
        <c:axId val="1175340943"/>
        <c:scaling>
          <c:orientation val="minMax"/>
        </c:scaling>
        <c:delete val="1"/>
        <c:axPos val="b"/>
        <c:majorTickMark val="none"/>
        <c:minorTickMark val="none"/>
        <c:tickLblPos val="nextTo"/>
        <c:crossAx val="1175363023"/>
        <c:crosses val="autoZero"/>
        <c:auto val="1"/>
        <c:lblAlgn val="ctr"/>
        <c:lblOffset val="100"/>
        <c:noMultiLvlLbl val="0"/>
      </c:catAx>
      <c:valAx>
        <c:axId val="1175363023"/>
        <c:scaling>
          <c:orientation val="minMax"/>
          <c:max val="350"/>
          <c:min val="0"/>
        </c:scaling>
        <c:delete val="1"/>
        <c:axPos val="l"/>
        <c:numFmt formatCode="_(&quot;$&quot;* #,##0_);_(&quot;$&quot;* \(#,##0\);_(&quot;$&quot;* &quot;-&quot;??_);_(@_)" sourceLinked="1"/>
        <c:majorTickMark val="out"/>
        <c:minorTickMark val="none"/>
        <c:tickLblPos val="nextTo"/>
        <c:crossAx val="11753409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937-4C34-8531-26247CA64CB3}"/>
              </c:ext>
            </c:extLst>
          </c:dPt>
          <c:dPt>
            <c:idx val="1"/>
            <c:bubble3D val="0"/>
            <c:spPr>
              <a:solidFill>
                <a:srgbClr val="6FD04C"/>
              </a:solidFill>
              <a:ln w="19050">
                <a:solidFill>
                  <a:schemeClr val="lt1"/>
                </a:solidFill>
              </a:ln>
              <a:effectLst/>
            </c:spPr>
            <c:extLst>
              <c:ext xmlns:c16="http://schemas.microsoft.com/office/drawing/2014/chart" uri="{C3380CC4-5D6E-409C-BE32-E72D297353CC}">
                <c16:uniqueId val="{00000005-EDE9-432A-8FE3-AC3F9BF1FDE4}"/>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0937-4C34-8531-26247CA64CB3}"/>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552B-4D04-986C-AC6B1C5115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'Asset Allocation'!$B$10:$D$10</c:f>
              <c:strCache>
                <c:ptCount val="3"/>
                <c:pt idx="0">
                  <c:v> U.S. Market </c:v>
                </c:pt>
                <c:pt idx="1">
                  <c:v> World Index </c:v>
                </c:pt>
                <c:pt idx="2">
                  <c:v> Cryptocurrency </c:v>
                </c:pt>
              </c:strCache>
            </c:strRef>
          </c:cat>
          <c:val>
            <c:numRef>
              <c:f>'Asset Allocation'!$B$13:$D$13</c:f>
              <c:numCache>
                <c:formatCode>_("$"* #,##0_);_("$"* \(#,##0\);_("$"* "-"_);_(@_)</c:formatCode>
                <c:ptCount val="3"/>
                <c:pt idx="0">
                  <c:v>10872.763999999999</c:v>
                </c:pt>
                <c:pt idx="1">
                  <c:v>2684.8</c:v>
                </c:pt>
                <c:pt idx="2">
                  <c:v>190</c:v>
                </c:pt>
              </c:numCache>
            </c:numRef>
          </c:val>
          <c:extLst>
            <c:ext xmlns:c16="http://schemas.microsoft.com/office/drawing/2014/chart" uri="{C3380CC4-5D6E-409C-BE32-E72D297353CC}">
              <c16:uniqueId val="{00000000-EDE9-432A-8FE3-AC3F9BF1FDE4}"/>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Composition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'Asset Allocation'!$L$3</c:f>
              <c:strCache>
                <c:ptCount val="1"/>
                <c:pt idx="0">
                  <c:v>Value</c:v>
                </c:pt>
              </c:strCache>
            </c:strRef>
          </c:tx>
          <c:spPr>
            <a:solidFill>
              <a:schemeClr val="accent1"/>
            </a:solidFill>
            <a:ln>
              <a:noFill/>
            </a:ln>
            <a:effectLst/>
          </c:spPr>
          <c:invertIfNegative val="0"/>
          <c:cat>
            <c:strRef>
              <c:f>'Asset Allocation'!$K$4:$K$6</c:f>
              <c:strCache>
                <c:ptCount val="3"/>
                <c:pt idx="0">
                  <c:v>Large</c:v>
                </c:pt>
                <c:pt idx="1">
                  <c:v>Mid</c:v>
                </c:pt>
                <c:pt idx="2">
                  <c:v>Small</c:v>
                </c:pt>
              </c:strCache>
            </c:strRef>
          </c:cat>
          <c:val>
            <c:numRef>
              <c:f>'Asset Allocation'!$L$4:$L$6</c:f>
              <c:numCache>
                <c:formatCode>0.0%</c:formatCode>
                <c:ptCount val="3"/>
                <c:pt idx="0">
                  <c:v>0.1633496100263816</c:v>
                </c:pt>
                <c:pt idx="1">
                  <c:v>5.3594251099615971E-2</c:v>
                </c:pt>
                <c:pt idx="2">
                  <c:v>5.3428647439775094E-2</c:v>
                </c:pt>
              </c:numCache>
            </c:numRef>
          </c:val>
          <c:extLst>
            <c:ext xmlns:c16="http://schemas.microsoft.com/office/drawing/2014/chart" uri="{C3380CC4-5D6E-409C-BE32-E72D297353CC}">
              <c16:uniqueId val="{00000000-72AA-42F7-AAA0-720CA862E9F9}"/>
            </c:ext>
          </c:extLst>
        </c:ser>
        <c:ser>
          <c:idx val="1"/>
          <c:order val="1"/>
          <c:tx>
            <c:strRef>
              <c:f>'Asset Allocation'!$M$3</c:f>
              <c:strCache>
                <c:ptCount val="1"/>
                <c:pt idx="0">
                  <c:v>Blend</c:v>
                </c:pt>
              </c:strCache>
            </c:strRef>
          </c:tx>
          <c:spPr>
            <a:solidFill>
              <a:srgbClr val="00B0F0"/>
            </a:solidFill>
            <a:ln>
              <a:noFill/>
            </a:ln>
            <a:effectLst/>
          </c:spPr>
          <c:invertIfNegative val="0"/>
          <c:cat>
            <c:strRef>
              <c:f>'Asset Allocation'!$K$4:$K$6</c:f>
              <c:strCache>
                <c:ptCount val="3"/>
                <c:pt idx="0">
                  <c:v>Large</c:v>
                </c:pt>
                <c:pt idx="1">
                  <c:v>Mid</c:v>
                </c:pt>
                <c:pt idx="2">
                  <c:v>Small</c:v>
                </c:pt>
              </c:strCache>
            </c:strRef>
          </c:cat>
          <c:val>
            <c:numRef>
              <c:f>'Asset Allocation'!$M$4:$M$6</c:f>
              <c:numCache>
                <c:formatCode>0.0%</c:formatCode>
                <c:ptCount val="3"/>
                <c:pt idx="0">
                  <c:v>0.28524923734147861</c:v>
                </c:pt>
                <c:pt idx="1">
                  <c:v>8.503441259385168E-2</c:v>
                </c:pt>
                <c:pt idx="2">
                  <c:v>6.5646517454702416E-2</c:v>
                </c:pt>
              </c:numCache>
            </c:numRef>
          </c:val>
          <c:extLst>
            <c:ext xmlns:c16="http://schemas.microsoft.com/office/drawing/2014/chart" uri="{C3380CC4-5D6E-409C-BE32-E72D297353CC}">
              <c16:uniqueId val="{00000001-72AA-42F7-AAA0-720CA862E9F9}"/>
            </c:ext>
          </c:extLst>
        </c:ser>
        <c:ser>
          <c:idx val="2"/>
          <c:order val="2"/>
          <c:tx>
            <c:strRef>
              <c:f>'Asset Allocation'!$N$3</c:f>
              <c:strCache>
                <c:ptCount val="1"/>
                <c:pt idx="0">
                  <c:v>Growth</c:v>
                </c:pt>
              </c:strCache>
            </c:strRef>
          </c:tx>
          <c:spPr>
            <a:solidFill>
              <a:srgbClr val="00B050"/>
            </a:solidFill>
            <a:ln>
              <a:noFill/>
            </a:ln>
            <a:effectLst/>
          </c:spPr>
          <c:invertIfNegative val="0"/>
          <c:cat>
            <c:strRef>
              <c:f>'Asset Allocation'!$K$4:$K$6</c:f>
              <c:strCache>
                <c:ptCount val="3"/>
                <c:pt idx="0">
                  <c:v>Large</c:v>
                </c:pt>
                <c:pt idx="1">
                  <c:v>Mid</c:v>
                </c:pt>
                <c:pt idx="2">
                  <c:v>Small</c:v>
                </c:pt>
              </c:strCache>
            </c:strRef>
          </c:cat>
          <c:val>
            <c:numRef>
              <c:f>'Asset Allocation'!$N$4:$N$6</c:f>
              <c:numCache>
                <c:formatCode>0.0%</c:formatCode>
                <c:ptCount val="3"/>
                <c:pt idx="0">
                  <c:v>0.1439218473394929</c:v>
                </c:pt>
                <c:pt idx="1">
                  <c:v>5.3753721290573854E-2</c:v>
                </c:pt>
                <c:pt idx="2">
                  <c:v>4.3247089094002308E-2</c:v>
                </c:pt>
              </c:numCache>
            </c:numRef>
          </c:val>
          <c:extLst>
            <c:ext xmlns:c16="http://schemas.microsoft.com/office/drawing/2014/chart" uri="{C3380CC4-5D6E-409C-BE32-E72D297353CC}">
              <c16:uniqueId val="{00000002-72AA-42F7-AAA0-720CA862E9F9}"/>
            </c:ext>
          </c:extLst>
        </c:ser>
        <c:dLbls>
          <c:showLegendKey val="0"/>
          <c:showVal val="0"/>
          <c:showCatName val="0"/>
          <c:showSerName val="0"/>
          <c:showPercent val="0"/>
          <c:showBubbleSize val="0"/>
        </c:dLbls>
        <c:gapWidth val="150"/>
        <c:overlap val="100"/>
        <c:axId val="677610943"/>
        <c:axId val="677614783"/>
      </c:barChart>
      <c:catAx>
        <c:axId val="67761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14783"/>
        <c:crosses val="autoZero"/>
        <c:auto val="1"/>
        <c:lblAlgn val="ctr"/>
        <c:lblOffset val="100"/>
        <c:noMultiLvlLbl val="0"/>
      </c:catAx>
      <c:valAx>
        <c:axId val="6776147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1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Holdings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3-3F24-418A-9669-CF8DEC22D6F4}"/>
              </c:ext>
            </c:extLst>
          </c:dPt>
          <c:dPt>
            <c:idx val="1"/>
            <c:bubble3D val="0"/>
            <c:spPr>
              <a:solidFill>
                <a:srgbClr val="6ADC7A"/>
              </a:solidFill>
              <a:ln w="19050">
                <a:solidFill>
                  <a:schemeClr val="lt1"/>
                </a:solidFill>
              </a:ln>
              <a:effectLst/>
            </c:spPr>
            <c:extLst>
              <c:ext xmlns:c16="http://schemas.microsoft.com/office/drawing/2014/chart" uri="{C3380CC4-5D6E-409C-BE32-E72D297353CC}">
                <c16:uniqueId val="{00000003-45AB-4E29-8BBE-96AD1E33D71D}"/>
              </c:ext>
            </c:extLst>
          </c:dPt>
          <c:dPt>
            <c:idx val="2"/>
            <c:bubble3D val="0"/>
            <c:spPr>
              <a:solidFill>
                <a:srgbClr val="D3F5D8"/>
              </a:solidFill>
              <a:ln w="19050">
                <a:solidFill>
                  <a:schemeClr val="lt1"/>
                </a:solidFill>
              </a:ln>
              <a:effectLst/>
            </c:spPr>
            <c:extLst>
              <c:ext xmlns:c16="http://schemas.microsoft.com/office/drawing/2014/chart" uri="{C3380CC4-5D6E-409C-BE32-E72D297353CC}">
                <c16:uniqueId val="{00000001-3F24-418A-9669-CF8DEC22D6F4}"/>
              </c:ext>
            </c:extLst>
          </c:dPt>
          <c:dPt>
            <c:idx val="3"/>
            <c:bubble3D val="0"/>
            <c:spPr>
              <a:solidFill>
                <a:srgbClr val="008A3E"/>
              </a:solidFill>
              <a:ln w="19050">
                <a:solidFill>
                  <a:schemeClr val="lt1"/>
                </a:solidFill>
              </a:ln>
              <a:effectLst/>
            </c:spPr>
            <c:extLst>
              <c:ext xmlns:c16="http://schemas.microsoft.com/office/drawing/2014/chart" uri="{C3380CC4-5D6E-409C-BE32-E72D297353CC}">
                <c16:uniqueId val="{00000002-3F24-418A-9669-CF8DEC22D6F4}"/>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4-3F24-418A-9669-CF8DEC22D6F4}"/>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AC45-44FD-8C28-6D3D9DC23F0F}"/>
              </c:ext>
            </c:extLst>
          </c:dPt>
          <c:dLbls>
            <c:dLbl>
              <c:idx val="0"/>
              <c:layout>
                <c:manualLayout>
                  <c:x val="0.27878787878787881"/>
                  <c:y val="1.8726591760299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24-418A-9669-CF8DEC22D6F4}"/>
                </c:ext>
              </c:extLst>
            </c:dLbl>
            <c:dLbl>
              <c:idx val="1"/>
              <c:layout>
                <c:manualLayout>
                  <c:x val="3.6363636363636369E-2"/>
                  <c:y val="-9.36329588014981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620472440944882"/>
                      <c:h val="0.2016613091902838"/>
                    </c:manualLayout>
                  </c15:layout>
                </c:ext>
                <c:ext xmlns:c16="http://schemas.microsoft.com/office/drawing/2014/chart" uri="{C3380CC4-5D6E-409C-BE32-E72D297353CC}">
                  <c16:uniqueId val="{00000003-45AB-4E29-8BBE-96AD1E33D71D}"/>
                </c:ext>
              </c:extLst>
            </c:dLbl>
            <c:dLbl>
              <c:idx val="2"/>
              <c:layout>
                <c:manualLayout>
                  <c:x val="-7.8787878787878796E-2"/>
                  <c:y val="6.86641697877653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24-418A-9669-CF8DEC22D6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'Asset Allocation'!$B$4:$B$8</c:f>
              <c:strCache>
                <c:ptCount val="4"/>
                <c:pt idx="0">
                  <c:v> VB </c:v>
                </c:pt>
                <c:pt idx="1">
                  <c:v> S&amp;P 500 </c:v>
                </c:pt>
                <c:pt idx="2">
                  <c:v> OZSC </c:v>
                </c:pt>
                <c:pt idx="3">
                  <c:v> IAU </c:v>
                </c:pt>
              </c:strCache>
            </c:strRef>
          </c:cat>
          <c:val>
            <c:numRef>
              <c:f>'Asset Allocation'!$C$4:$C$8</c:f>
              <c:numCache>
                <c:formatCode>_("$"* #,##0_);_("$"* \(#,##0\);_("$"* "-"_);_(@_)</c:formatCode>
                <c:ptCount val="5"/>
                <c:pt idx="0">
                  <c:v>1545</c:v>
                </c:pt>
                <c:pt idx="1">
                  <c:v>5580</c:v>
                </c:pt>
                <c:pt idx="2">
                  <c:v>0.19</c:v>
                </c:pt>
                <c:pt idx="3" formatCode="_(&quot;$&quot;* #,##0.00_);_(&quot;$&quot;* \(#,##0.00\);_(&quot;$&quot;* &quot;-&quot;??_);_(@_)">
                  <c:v>317</c:v>
                </c:pt>
              </c:numCache>
            </c:numRef>
          </c:val>
          <c:extLst>
            <c:ext xmlns:c16="http://schemas.microsoft.com/office/drawing/2014/chart" uri="{C3380CC4-5D6E-409C-BE32-E72D297353CC}">
              <c16:uniqueId val="{00000000-3F24-418A-9669-CF8DEC22D6F4}"/>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581025</xdr:colOff>
      <xdr:row>4</xdr:row>
      <xdr:rowOff>166687</xdr:rowOff>
    </xdr:from>
    <xdr:to>
      <xdr:col>3</xdr:col>
      <xdr:colOff>196215</xdr:colOff>
      <xdr:row>9</xdr:row>
      <xdr:rowOff>37147</xdr:rowOff>
    </xdr:to>
    <xdr:grpSp>
      <xdr:nvGrpSpPr>
        <xdr:cNvPr id="21" name="Group 20">
          <a:extLst>
            <a:ext uri="{FF2B5EF4-FFF2-40B4-BE49-F238E27FC236}">
              <a16:creationId xmlns:a16="http://schemas.microsoft.com/office/drawing/2014/main" id="{D4D7E784-BF34-9360-89CE-301AE79D990E}"/>
            </a:ext>
          </a:extLst>
        </xdr:cNvPr>
        <xdr:cNvGrpSpPr/>
      </xdr:nvGrpSpPr>
      <xdr:grpSpPr>
        <a:xfrm>
          <a:off x="200025" y="1096327"/>
          <a:ext cx="1466850" cy="784860"/>
          <a:chOff x="1190625" y="1095375"/>
          <a:chExt cx="1463040" cy="822960"/>
        </a:xfrm>
      </xdr:grpSpPr>
      <xdr:sp macro="" textlink="">
        <xdr:nvSpPr>
          <xdr:cNvPr id="2" name="Rectangle: Rounded Corners 1">
            <a:extLst>
              <a:ext uri="{FF2B5EF4-FFF2-40B4-BE49-F238E27FC236}">
                <a16:creationId xmlns:a16="http://schemas.microsoft.com/office/drawing/2014/main" id="{CB43A180-1A48-6E3A-470E-CBBB2715420B}"/>
              </a:ext>
            </a:extLst>
          </xdr:cNvPr>
          <xdr:cNvSpPr/>
        </xdr:nvSpPr>
        <xdr:spPr>
          <a:xfrm>
            <a:off x="1190625" y="1095375"/>
            <a:ext cx="1463040"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 name="TextBox 2">
            <a:extLst>
              <a:ext uri="{FF2B5EF4-FFF2-40B4-BE49-F238E27FC236}">
                <a16:creationId xmlns:a16="http://schemas.microsoft.com/office/drawing/2014/main" id="{1CB72FD9-D4CB-DE45-6CA3-E89087C180B6}"/>
              </a:ext>
            </a:extLst>
          </xdr:cNvPr>
          <xdr:cNvSpPr txBox="1"/>
        </xdr:nvSpPr>
        <xdr:spPr>
          <a:xfrm>
            <a:off x="1219200" y="1171575"/>
            <a:ext cx="1285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Date of Today</a:t>
            </a:r>
          </a:p>
        </xdr:txBody>
      </xdr:sp>
      <xdr:sp macro="" textlink="Calculations!E8">
        <xdr:nvSpPr>
          <xdr:cNvPr id="4" name="TextBox 3">
            <a:extLst>
              <a:ext uri="{FF2B5EF4-FFF2-40B4-BE49-F238E27FC236}">
                <a16:creationId xmlns:a16="http://schemas.microsoft.com/office/drawing/2014/main" id="{87B70A1D-C190-48F6-825C-A5548C937EEF}"/>
              </a:ext>
            </a:extLst>
          </xdr:cNvPr>
          <xdr:cNvSpPr txBox="1"/>
        </xdr:nvSpPr>
        <xdr:spPr>
          <a:xfrm>
            <a:off x="1219200" y="1428750"/>
            <a:ext cx="12858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489495-B319-4F64-8857-AEFBD0F93EFA}" type="TxLink">
              <a:rPr lang="en-US" sz="1200" b="1" i="0" u="none" strike="noStrike" kern="1200">
                <a:solidFill>
                  <a:srgbClr val="000000"/>
                </a:solidFill>
                <a:latin typeface="Calibri"/>
                <a:ea typeface="Calibri"/>
                <a:cs typeface="Calibri"/>
              </a:rPr>
              <a:pPr/>
              <a:t>4-Jul-26</a:t>
            </a:fld>
            <a:endParaRPr lang="en-US" sz="1200" b="1" kern="1200"/>
          </a:p>
        </xdr:txBody>
      </xdr:sp>
    </xdr:grpSp>
    <xdr:clientData/>
  </xdr:twoCellAnchor>
  <xdr:twoCellAnchor>
    <xdr:from>
      <xdr:col>3</xdr:col>
      <xdr:colOff>514349</xdr:colOff>
      <xdr:row>4</xdr:row>
      <xdr:rowOff>166687</xdr:rowOff>
    </xdr:from>
    <xdr:to>
      <xdr:col>4</xdr:col>
      <xdr:colOff>1552575</xdr:colOff>
      <xdr:row>9</xdr:row>
      <xdr:rowOff>37147</xdr:rowOff>
    </xdr:to>
    <xdr:grpSp>
      <xdr:nvGrpSpPr>
        <xdr:cNvPr id="22" name="Group 21">
          <a:extLst>
            <a:ext uri="{FF2B5EF4-FFF2-40B4-BE49-F238E27FC236}">
              <a16:creationId xmlns:a16="http://schemas.microsoft.com/office/drawing/2014/main" id="{63E61012-5674-A500-15FD-0D5BC66BC84F}"/>
            </a:ext>
          </a:extLst>
        </xdr:cNvPr>
        <xdr:cNvGrpSpPr/>
      </xdr:nvGrpSpPr>
      <xdr:grpSpPr>
        <a:xfrm>
          <a:off x="1985009" y="1096327"/>
          <a:ext cx="2310766" cy="784860"/>
          <a:chOff x="2886074" y="1095375"/>
          <a:chExt cx="2276476" cy="822960"/>
        </a:xfrm>
      </xdr:grpSpPr>
      <xdr:sp macro="" textlink="">
        <xdr:nvSpPr>
          <xdr:cNvPr id="5" name="Rectangle: Rounded Corners 4">
            <a:extLst>
              <a:ext uri="{FF2B5EF4-FFF2-40B4-BE49-F238E27FC236}">
                <a16:creationId xmlns:a16="http://schemas.microsoft.com/office/drawing/2014/main" id="{9A81C5F2-AAC7-4F11-8055-5BC181818E81}"/>
              </a:ext>
            </a:extLst>
          </xdr:cNvPr>
          <xdr:cNvSpPr/>
        </xdr:nvSpPr>
        <xdr:spPr>
          <a:xfrm>
            <a:off x="2886074" y="1095375"/>
            <a:ext cx="2066926"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6" name="TextBox 5">
            <a:extLst>
              <a:ext uri="{FF2B5EF4-FFF2-40B4-BE49-F238E27FC236}">
                <a16:creationId xmlns:a16="http://schemas.microsoft.com/office/drawing/2014/main" id="{C20F5C35-001C-41D6-B8D6-15018B75CA62}"/>
              </a:ext>
            </a:extLst>
          </xdr:cNvPr>
          <xdr:cNvSpPr txBox="1"/>
        </xdr:nvSpPr>
        <xdr:spPr>
          <a:xfrm>
            <a:off x="2914650" y="1190625"/>
            <a:ext cx="14192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Date of Last Record</a:t>
            </a:r>
          </a:p>
        </xdr:txBody>
      </xdr:sp>
      <xdr:sp macro="" textlink="Calculations!E9">
        <xdr:nvSpPr>
          <xdr:cNvPr id="7" name="TextBox 6">
            <a:extLst>
              <a:ext uri="{FF2B5EF4-FFF2-40B4-BE49-F238E27FC236}">
                <a16:creationId xmlns:a16="http://schemas.microsoft.com/office/drawing/2014/main" id="{FCEBAF6B-9415-49E1-906A-55D10CDD4D70}"/>
              </a:ext>
            </a:extLst>
          </xdr:cNvPr>
          <xdr:cNvSpPr txBox="1"/>
        </xdr:nvSpPr>
        <xdr:spPr>
          <a:xfrm>
            <a:off x="2914650" y="1447800"/>
            <a:ext cx="9620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A951E-095E-4613-9E25-5F21BD0BA712}" type="TxLink">
              <a:rPr lang="en-US" sz="1200" b="1" i="0" u="none" strike="noStrike" kern="1200">
                <a:solidFill>
                  <a:srgbClr val="000000"/>
                </a:solidFill>
                <a:latin typeface="Calibri"/>
                <a:ea typeface="Calibri"/>
                <a:cs typeface="Calibri"/>
              </a:rPr>
              <a:pPr/>
              <a:t>3-Jul-26</a:t>
            </a:fld>
            <a:endParaRPr lang="en-US" sz="1400" b="1" kern="1200"/>
          </a:p>
        </xdr:txBody>
      </xdr:sp>
      <xdr:sp macro="" textlink="Calculations!E10">
        <xdr:nvSpPr>
          <xdr:cNvPr id="8" name="TextBox 7">
            <a:extLst>
              <a:ext uri="{FF2B5EF4-FFF2-40B4-BE49-F238E27FC236}">
                <a16:creationId xmlns:a16="http://schemas.microsoft.com/office/drawing/2014/main" id="{67F8A869-EDC6-4DCE-B58D-94BD3A46F924}"/>
              </a:ext>
            </a:extLst>
          </xdr:cNvPr>
          <xdr:cNvSpPr txBox="1"/>
        </xdr:nvSpPr>
        <xdr:spPr>
          <a:xfrm>
            <a:off x="3848100" y="1457325"/>
            <a:ext cx="13144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94CC7A-E315-4A6D-9860-A1270C61C534}" type="TxLink">
              <a:rPr lang="en-US" sz="1050" b="0" i="0" u="none" strike="noStrike" kern="1200">
                <a:solidFill>
                  <a:srgbClr val="000000"/>
                </a:solidFill>
                <a:latin typeface="Calibri"/>
                <a:ea typeface="Calibri"/>
                <a:cs typeface="Calibri"/>
              </a:rPr>
              <a:pPr/>
              <a:t>(1 days ago)</a:t>
            </a:fld>
            <a:endParaRPr lang="en-US" sz="1100" b="1" kern="1200"/>
          </a:p>
        </xdr:txBody>
      </xdr:sp>
    </xdr:grpSp>
    <xdr:clientData/>
  </xdr:twoCellAnchor>
  <xdr:twoCellAnchor>
    <xdr:from>
      <xdr:col>4</xdr:col>
      <xdr:colOff>1724024</xdr:colOff>
      <xdr:row>4</xdr:row>
      <xdr:rowOff>166687</xdr:rowOff>
    </xdr:from>
    <xdr:to>
      <xdr:col>6</xdr:col>
      <xdr:colOff>381000</xdr:colOff>
      <xdr:row>9</xdr:row>
      <xdr:rowOff>37147</xdr:rowOff>
    </xdr:to>
    <xdr:grpSp>
      <xdr:nvGrpSpPr>
        <xdr:cNvPr id="23" name="Group 22">
          <a:extLst>
            <a:ext uri="{FF2B5EF4-FFF2-40B4-BE49-F238E27FC236}">
              <a16:creationId xmlns:a16="http://schemas.microsoft.com/office/drawing/2014/main" id="{1B4B13E7-CC8C-9040-9633-D55533F03FCA}"/>
            </a:ext>
          </a:extLst>
        </xdr:cNvPr>
        <xdr:cNvGrpSpPr/>
      </xdr:nvGrpSpPr>
      <xdr:grpSpPr>
        <a:xfrm>
          <a:off x="4467224" y="1096327"/>
          <a:ext cx="2192656" cy="784860"/>
          <a:chOff x="5391149" y="1104900"/>
          <a:chExt cx="1943101" cy="822960"/>
        </a:xfrm>
      </xdr:grpSpPr>
      <xdr:sp macro="" textlink="">
        <xdr:nvSpPr>
          <xdr:cNvPr id="13" name="Rectangle: Rounded Corners 12">
            <a:extLst>
              <a:ext uri="{FF2B5EF4-FFF2-40B4-BE49-F238E27FC236}">
                <a16:creationId xmlns:a16="http://schemas.microsoft.com/office/drawing/2014/main" id="{784DE02F-F0B1-42B2-ABD5-C6B21A4C98EA}"/>
              </a:ext>
            </a:extLst>
          </xdr:cNvPr>
          <xdr:cNvSpPr/>
        </xdr:nvSpPr>
        <xdr:spPr>
          <a:xfrm>
            <a:off x="5391149" y="1104900"/>
            <a:ext cx="1857376"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 name="TextBox 13">
            <a:extLst>
              <a:ext uri="{FF2B5EF4-FFF2-40B4-BE49-F238E27FC236}">
                <a16:creationId xmlns:a16="http://schemas.microsoft.com/office/drawing/2014/main" id="{972C9623-D754-41CF-A52C-8B0234D806FB}"/>
              </a:ext>
            </a:extLst>
          </xdr:cNvPr>
          <xdr:cNvSpPr txBox="1"/>
        </xdr:nvSpPr>
        <xdr:spPr>
          <a:xfrm>
            <a:off x="5419725" y="1200150"/>
            <a:ext cx="18573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Number</a:t>
            </a:r>
            <a:r>
              <a:rPr lang="en-US" sz="1100" b="1" kern="1200" baseline="0"/>
              <a:t> of Tracked Records</a:t>
            </a:r>
          </a:p>
        </xdr:txBody>
      </xdr:sp>
      <xdr:sp macro="" textlink="Calculations!E11">
        <xdr:nvSpPr>
          <xdr:cNvPr id="15" name="TextBox 14">
            <a:extLst>
              <a:ext uri="{FF2B5EF4-FFF2-40B4-BE49-F238E27FC236}">
                <a16:creationId xmlns:a16="http://schemas.microsoft.com/office/drawing/2014/main" id="{D995F910-BDA2-4DA7-84A1-148F8FC62CA1}"/>
              </a:ext>
            </a:extLst>
          </xdr:cNvPr>
          <xdr:cNvSpPr txBox="1"/>
        </xdr:nvSpPr>
        <xdr:spPr>
          <a:xfrm>
            <a:off x="5572126" y="1466850"/>
            <a:ext cx="438588"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6D3FDC-11C3-4899-8D4F-44C91AD31BF6}" type="TxLink">
              <a:rPr lang="en-US" sz="1200" b="1" i="0" u="none" strike="noStrike" kern="1200">
                <a:solidFill>
                  <a:srgbClr val="000000"/>
                </a:solidFill>
                <a:latin typeface="Calibri"/>
                <a:ea typeface="Calibri"/>
                <a:cs typeface="Calibri"/>
              </a:rPr>
              <a:pPr/>
              <a:t>900</a:t>
            </a:fld>
            <a:endParaRPr lang="en-US" sz="1600" b="1" kern="1200"/>
          </a:p>
        </xdr:txBody>
      </xdr:sp>
      <xdr:sp macro="" textlink="Calculations!E12">
        <xdr:nvSpPr>
          <xdr:cNvPr id="16" name="TextBox 15">
            <a:extLst>
              <a:ext uri="{FF2B5EF4-FFF2-40B4-BE49-F238E27FC236}">
                <a16:creationId xmlns:a16="http://schemas.microsoft.com/office/drawing/2014/main" id="{31484FE3-98E3-425B-9993-8AC5FCF7CD73}"/>
              </a:ext>
            </a:extLst>
          </xdr:cNvPr>
          <xdr:cNvSpPr txBox="1"/>
        </xdr:nvSpPr>
        <xdr:spPr>
          <a:xfrm>
            <a:off x="6019800" y="1466850"/>
            <a:ext cx="13144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75102-89AC-4CEA-A356-61D786F43D15}" type="TxLink">
              <a:rPr lang="en-US" sz="1050" b="0" i="0" u="none" strike="noStrike" kern="1200">
                <a:solidFill>
                  <a:srgbClr val="000000"/>
                </a:solidFill>
                <a:latin typeface="Calibri"/>
                <a:ea typeface="Calibri"/>
                <a:cs typeface="Calibri"/>
              </a:rPr>
              <a:pPr/>
              <a:t>(446 this year)</a:t>
            </a:fld>
            <a:endParaRPr lang="en-US" sz="1050" b="1" kern="1200"/>
          </a:p>
        </xdr:txBody>
      </xdr:sp>
    </xdr:grpSp>
    <xdr:clientData/>
  </xdr:twoCellAnchor>
  <xdr:twoCellAnchor>
    <xdr:from>
      <xdr:col>6</xdr:col>
      <xdr:colOff>676273</xdr:colOff>
      <xdr:row>4</xdr:row>
      <xdr:rowOff>166687</xdr:rowOff>
    </xdr:from>
    <xdr:to>
      <xdr:col>8</xdr:col>
      <xdr:colOff>123825</xdr:colOff>
      <xdr:row>9</xdr:row>
      <xdr:rowOff>37147</xdr:rowOff>
    </xdr:to>
    <xdr:grpSp>
      <xdr:nvGrpSpPr>
        <xdr:cNvPr id="24" name="Group 23">
          <a:extLst>
            <a:ext uri="{FF2B5EF4-FFF2-40B4-BE49-F238E27FC236}">
              <a16:creationId xmlns:a16="http://schemas.microsoft.com/office/drawing/2014/main" id="{B4EA47DF-7ED6-DAB0-7AC3-AC8E9710A909}"/>
            </a:ext>
          </a:extLst>
        </xdr:cNvPr>
        <xdr:cNvGrpSpPr/>
      </xdr:nvGrpSpPr>
      <xdr:grpSpPr>
        <a:xfrm>
          <a:off x="6955153" y="1096327"/>
          <a:ext cx="3569972" cy="784860"/>
          <a:chOff x="7639048" y="1123950"/>
          <a:chExt cx="3457577" cy="822960"/>
        </a:xfrm>
      </xdr:grpSpPr>
      <xdr:sp macro="" textlink="">
        <xdr:nvSpPr>
          <xdr:cNvPr id="17" name="Rectangle: Rounded Corners 16">
            <a:extLst>
              <a:ext uri="{FF2B5EF4-FFF2-40B4-BE49-F238E27FC236}">
                <a16:creationId xmlns:a16="http://schemas.microsoft.com/office/drawing/2014/main" id="{3310E508-3DDB-4A52-BB52-69D7D48FE47C}"/>
              </a:ext>
            </a:extLst>
          </xdr:cNvPr>
          <xdr:cNvSpPr/>
        </xdr:nvSpPr>
        <xdr:spPr>
          <a:xfrm>
            <a:off x="7639048" y="1123950"/>
            <a:ext cx="3448052"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TextBox 17">
            <a:extLst>
              <a:ext uri="{FF2B5EF4-FFF2-40B4-BE49-F238E27FC236}">
                <a16:creationId xmlns:a16="http://schemas.microsoft.com/office/drawing/2014/main" id="{1CABF9EB-450F-4F59-9D41-94B79EF02212}"/>
              </a:ext>
            </a:extLst>
          </xdr:cNvPr>
          <xdr:cNvSpPr txBox="1"/>
        </xdr:nvSpPr>
        <xdr:spPr>
          <a:xfrm>
            <a:off x="7667625" y="1219200"/>
            <a:ext cx="18573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Total Tracking Balance</a:t>
            </a:r>
            <a:endParaRPr lang="en-US" sz="1100" b="1" kern="1200" baseline="0"/>
          </a:p>
        </xdr:txBody>
      </xdr:sp>
      <xdr:sp macro="" textlink="Calculations!E13">
        <xdr:nvSpPr>
          <xdr:cNvPr id="19" name="TextBox 18">
            <a:extLst>
              <a:ext uri="{FF2B5EF4-FFF2-40B4-BE49-F238E27FC236}">
                <a16:creationId xmlns:a16="http://schemas.microsoft.com/office/drawing/2014/main" id="{BE4C4A3F-BCA9-49A5-899D-745A68010923}"/>
              </a:ext>
            </a:extLst>
          </xdr:cNvPr>
          <xdr:cNvSpPr txBox="1"/>
        </xdr:nvSpPr>
        <xdr:spPr>
          <a:xfrm>
            <a:off x="7762875" y="1495425"/>
            <a:ext cx="7048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E3C52E-EC9B-476D-AF26-072C56493D2E}" type="TxLink">
              <a:rPr lang="en-US" sz="1200" b="1" i="0" u="none" strike="noStrike" kern="1200">
                <a:solidFill>
                  <a:srgbClr val="000000"/>
                </a:solidFill>
                <a:latin typeface="Calibri"/>
                <a:ea typeface="Calibri"/>
                <a:cs typeface="Calibri"/>
              </a:rPr>
              <a:pPr/>
              <a:t> -   </a:t>
            </a:fld>
            <a:endParaRPr lang="en-US" sz="1800" b="1" kern="1200"/>
          </a:p>
        </xdr:txBody>
      </xdr:sp>
      <xdr:sp macro="" textlink="Calculations!E14">
        <xdr:nvSpPr>
          <xdr:cNvPr id="20" name="TextBox 19">
            <a:extLst>
              <a:ext uri="{FF2B5EF4-FFF2-40B4-BE49-F238E27FC236}">
                <a16:creationId xmlns:a16="http://schemas.microsoft.com/office/drawing/2014/main" id="{0CD6F152-7543-4ECE-AE0C-73322CE17789}"/>
              </a:ext>
            </a:extLst>
          </xdr:cNvPr>
          <xdr:cNvSpPr txBox="1"/>
        </xdr:nvSpPr>
        <xdr:spPr>
          <a:xfrm>
            <a:off x="8496299" y="1524000"/>
            <a:ext cx="26003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A547F-076C-4E5E-BD97-5FDBFE96BD3E}" type="TxLink">
              <a:rPr lang="en-US" sz="1050" b="0" i="0" u="none" strike="noStrike" kern="1200">
                <a:solidFill>
                  <a:srgbClr val="000000"/>
                </a:solidFill>
                <a:latin typeface="Calibri"/>
                <a:ea typeface="Calibri"/>
                <a:cs typeface="Calibri"/>
              </a:rPr>
              <a:pPr/>
              <a:t>of tracked income left to be allocated</a:t>
            </a:fld>
            <a:endParaRPr lang="en-US" sz="1000" b="1"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134471</xdr:colOff>
      <xdr:row>12</xdr:row>
      <xdr:rowOff>150929</xdr:rowOff>
    </xdr:from>
    <xdr:to>
      <xdr:col>32</xdr:col>
      <xdr:colOff>993589</xdr:colOff>
      <xdr:row>14</xdr:row>
      <xdr:rowOff>72488</xdr:rowOff>
    </xdr:to>
    <xdr:sp macro="" textlink="">
      <xdr:nvSpPr>
        <xdr:cNvPr id="2" name="TextBox 1">
          <a:extLst>
            <a:ext uri="{FF2B5EF4-FFF2-40B4-BE49-F238E27FC236}">
              <a16:creationId xmlns:a16="http://schemas.microsoft.com/office/drawing/2014/main" id="{A8F41479-7C6B-DE0E-612D-F72F9AE6201A}"/>
            </a:ext>
          </a:extLst>
        </xdr:cNvPr>
        <xdr:cNvSpPr txBox="1"/>
      </xdr:nvSpPr>
      <xdr:spPr>
        <a:xfrm>
          <a:off x="6420971" y="2627429"/>
          <a:ext cx="1906867"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rgbClr val="00D25F"/>
              </a:solidFill>
              <a:latin typeface="Calibri" panose="020F0502020204030204" pitchFamily="34" charset="0"/>
              <a:ea typeface="Calibri" panose="020F0502020204030204" pitchFamily="34" charset="0"/>
              <a:cs typeface="Calibri" panose="020F0502020204030204" pitchFamily="34" charset="0"/>
            </a:rPr>
            <a:t>Income</a:t>
          </a:r>
          <a:r>
            <a:rPr lang="en-US" sz="1100" b="1" kern="1200">
              <a:latin typeface="Calibri" panose="020F0502020204030204" pitchFamily="34" charset="0"/>
              <a:ea typeface="Calibri" panose="020F0502020204030204" pitchFamily="34" charset="0"/>
              <a:cs typeface="Calibri" panose="020F0502020204030204" pitchFamily="34" charset="0"/>
            </a:rPr>
            <a:t> Categories (Tracked)</a:t>
          </a:r>
        </a:p>
      </xdr:txBody>
    </xdr:sp>
    <xdr:clientData/>
  </xdr:twoCellAnchor>
  <xdr:twoCellAnchor editAs="oneCell">
    <xdr:from>
      <xdr:col>31</xdr:col>
      <xdr:colOff>292058</xdr:colOff>
      <xdr:row>14</xdr:row>
      <xdr:rowOff>29415</xdr:rowOff>
    </xdr:from>
    <xdr:to>
      <xdr:col>34</xdr:col>
      <xdr:colOff>102180</xdr:colOff>
      <xdr:row>23</xdr:row>
      <xdr:rowOff>26925</xdr:rowOff>
    </xdr:to>
    <xdr:graphicFrame macro="">
      <xdr:nvGraphicFramePr>
        <xdr:cNvPr id="3" name="Chart 2">
          <a:extLst>
            <a:ext uri="{FF2B5EF4-FFF2-40B4-BE49-F238E27FC236}">
              <a16:creationId xmlns:a16="http://schemas.microsoft.com/office/drawing/2014/main" id="{2FFCD806-0695-4155-A77B-5119F92FD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134471</xdr:colOff>
      <xdr:row>25</xdr:row>
      <xdr:rowOff>168088</xdr:rowOff>
    </xdr:from>
    <xdr:ext cx="2413467" cy="302559"/>
    <xdr:sp macro="" textlink="">
      <xdr:nvSpPr>
        <xdr:cNvPr id="4" name="TextBox 3">
          <a:extLst>
            <a:ext uri="{FF2B5EF4-FFF2-40B4-BE49-F238E27FC236}">
              <a16:creationId xmlns:a16="http://schemas.microsoft.com/office/drawing/2014/main" id="{B425DE9C-81FB-4CF9-A3FF-89E9C5AF0489}"/>
            </a:ext>
          </a:extLst>
        </xdr:cNvPr>
        <xdr:cNvSpPr txBox="1"/>
      </xdr:nvSpPr>
      <xdr:spPr>
        <a:xfrm>
          <a:off x="6766252" y="5121088"/>
          <a:ext cx="2413467"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rgbClr val="FF0066"/>
              </a:solidFill>
              <a:latin typeface="Calibri" panose="020F0502020204030204" pitchFamily="34" charset="0"/>
              <a:ea typeface="Calibri" panose="020F0502020204030204" pitchFamily="34" charset="0"/>
              <a:cs typeface="Calibri" panose="020F0502020204030204" pitchFamily="34" charset="0"/>
            </a:rPr>
            <a:t>Expenses</a:t>
          </a:r>
          <a:r>
            <a:rPr lang="en-US" sz="1100" b="1" kern="1200">
              <a:latin typeface="Calibri" panose="020F0502020204030204" pitchFamily="34" charset="0"/>
              <a:ea typeface="Calibri" panose="020F0502020204030204" pitchFamily="34" charset="0"/>
              <a:cs typeface="Calibri" panose="020F0502020204030204" pitchFamily="34" charset="0"/>
            </a:rPr>
            <a:t> Categories (Tracked)</a:t>
          </a:r>
        </a:p>
      </xdr:txBody>
    </xdr:sp>
    <xdr:clientData/>
  </xdr:oneCellAnchor>
  <xdr:oneCellAnchor>
    <xdr:from>
      <xdr:col>31</xdr:col>
      <xdr:colOff>504825</xdr:colOff>
      <xdr:row>27</xdr:row>
      <xdr:rowOff>29415</xdr:rowOff>
    </xdr:from>
    <xdr:ext cx="1870126" cy="1475535"/>
    <xdr:graphicFrame macro="">
      <xdr:nvGraphicFramePr>
        <xdr:cNvPr id="5" name="Chart 4">
          <a:extLst>
            <a:ext uri="{FF2B5EF4-FFF2-40B4-BE49-F238E27FC236}">
              <a16:creationId xmlns:a16="http://schemas.microsoft.com/office/drawing/2014/main" id="{F1797440-651B-433B-8AA6-57043B120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134471</xdr:colOff>
      <xdr:row>25</xdr:row>
      <xdr:rowOff>168088</xdr:rowOff>
    </xdr:from>
    <xdr:ext cx="2413467" cy="302559"/>
    <xdr:sp macro="" textlink="">
      <xdr:nvSpPr>
        <xdr:cNvPr id="6" name="TextBox 5">
          <a:extLst>
            <a:ext uri="{FF2B5EF4-FFF2-40B4-BE49-F238E27FC236}">
              <a16:creationId xmlns:a16="http://schemas.microsoft.com/office/drawing/2014/main" id="{1D9FAB96-D904-4093-BE8C-ADA1CAD33789}"/>
            </a:ext>
          </a:extLst>
        </xdr:cNvPr>
        <xdr:cNvSpPr txBox="1"/>
      </xdr:nvSpPr>
      <xdr:spPr>
        <a:xfrm>
          <a:off x="11719252" y="5121088"/>
          <a:ext cx="2413467"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rgbClr val="0070C0"/>
              </a:solidFill>
              <a:latin typeface="Calibri" panose="020F0502020204030204" pitchFamily="34" charset="0"/>
              <a:ea typeface="Calibri" panose="020F0502020204030204" pitchFamily="34" charset="0"/>
              <a:cs typeface="Calibri" panose="020F0502020204030204" pitchFamily="34" charset="0"/>
            </a:rPr>
            <a:t>Savings</a:t>
          </a:r>
          <a:r>
            <a:rPr lang="en-US" sz="1100" b="1" kern="1200">
              <a:latin typeface="Calibri" panose="020F0502020204030204" pitchFamily="34" charset="0"/>
              <a:ea typeface="Calibri" panose="020F0502020204030204" pitchFamily="34" charset="0"/>
              <a:cs typeface="Calibri" panose="020F0502020204030204" pitchFamily="34" charset="0"/>
            </a:rPr>
            <a:t> Categories (Tracked)</a:t>
          </a:r>
        </a:p>
      </xdr:txBody>
    </xdr:sp>
    <xdr:clientData/>
  </xdr:oneCellAnchor>
  <xdr:oneCellAnchor>
    <xdr:from>
      <xdr:col>38</xdr:col>
      <xdr:colOff>292058</xdr:colOff>
      <xdr:row>27</xdr:row>
      <xdr:rowOff>29415</xdr:rowOff>
    </xdr:from>
    <xdr:ext cx="2082893" cy="1669677"/>
    <xdr:graphicFrame macro="">
      <xdr:nvGraphicFramePr>
        <xdr:cNvPr id="7" name="Chart 6">
          <a:extLst>
            <a:ext uri="{FF2B5EF4-FFF2-40B4-BE49-F238E27FC236}">
              <a16:creationId xmlns:a16="http://schemas.microsoft.com/office/drawing/2014/main" id="{FFE91AE4-8EA7-4AD6-AEC4-9FE96B8A3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134471</xdr:colOff>
      <xdr:row>12</xdr:row>
      <xdr:rowOff>150929</xdr:rowOff>
    </xdr:from>
    <xdr:to>
      <xdr:col>39</xdr:col>
      <xdr:colOff>985650</xdr:colOff>
      <xdr:row>14</xdr:row>
      <xdr:rowOff>72488</xdr:rowOff>
    </xdr:to>
    <xdr:sp macro="" textlink="">
      <xdr:nvSpPr>
        <xdr:cNvPr id="8" name="TextBox 7">
          <a:extLst>
            <a:ext uri="{FF2B5EF4-FFF2-40B4-BE49-F238E27FC236}">
              <a16:creationId xmlns:a16="http://schemas.microsoft.com/office/drawing/2014/main" id="{DE779BB4-8967-4A86-BBF2-FF4C9BED211E}"/>
            </a:ext>
          </a:extLst>
        </xdr:cNvPr>
        <xdr:cNvSpPr txBox="1"/>
      </xdr:nvSpPr>
      <xdr:spPr>
        <a:xfrm>
          <a:off x="11719252" y="2627429"/>
          <a:ext cx="1906867"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Tracked (vs. Budget)</a:t>
          </a:r>
        </a:p>
      </xdr:txBody>
    </xdr:sp>
    <xdr:clientData/>
  </xdr:twoCellAnchor>
  <xdr:twoCellAnchor>
    <xdr:from>
      <xdr:col>38</xdr:col>
      <xdr:colOff>391054</xdr:colOff>
      <xdr:row>14</xdr:row>
      <xdr:rowOff>581</xdr:rowOff>
    </xdr:from>
    <xdr:to>
      <xdr:col>43</xdr:col>
      <xdr:colOff>188647</xdr:colOff>
      <xdr:row>24</xdr:row>
      <xdr:rowOff>46301</xdr:rowOff>
    </xdr:to>
    <xdr:graphicFrame macro="">
      <xdr:nvGraphicFramePr>
        <xdr:cNvPr id="9" name="Chart 8">
          <a:extLst>
            <a:ext uri="{FF2B5EF4-FFF2-40B4-BE49-F238E27FC236}">
              <a16:creationId xmlns:a16="http://schemas.microsoft.com/office/drawing/2014/main" id="{2CEE8487-450C-472A-8A29-2F4C81E5B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42</xdr:col>
          <xdr:colOff>411480</xdr:colOff>
          <xdr:row>12</xdr:row>
          <xdr:rowOff>121920</xdr:rowOff>
        </xdr:from>
        <xdr:to>
          <xdr:col>43</xdr:col>
          <xdr:colOff>99060</xdr:colOff>
          <xdr:row>13</xdr:row>
          <xdr:rowOff>121920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3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411480</xdr:colOff>
          <xdr:row>13</xdr:row>
          <xdr:rowOff>106680</xdr:rowOff>
        </xdr:from>
        <xdr:to>
          <xdr:col>43</xdr:col>
          <xdr:colOff>99060</xdr:colOff>
          <xdr:row>14</xdr:row>
          <xdr:rowOff>99060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3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411480</xdr:colOff>
          <xdr:row>14</xdr:row>
          <xdr:rowOff>76200</xdr:rowOff>
        </xdr:from>
        <xdr:to>
          <xdr:col>43</xdr:col>
          <xdr:colOff>99060</xdr:colOff>
          <xdr:row>15</xdr:row>
          <xdr:rowOff>68580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3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861060</xdr:colOff>
          <xdr:row>12</xdr:row>
          <xdr:rowOff>121920</xdr:rowOff>
        </xdr:from>
        <xdr:to>
          <xdr:col>42</xdr:col>
          <xdr:colOff>365760</xdr:colOff>
          <xdr:row>13</xdr:row>
          <xdr:rowOff>121920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3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Budget</a:t>
              </a:r>
            </a:p>
          </xdr:txBody>
        </xdr:sp>
        <xdr:clientData/>
      </xdr:twoCellAnchor>
    </mc:Choice>
    <mc:Fallback/>
  </mc:AlternateContent>
  <xdr:twoCellAnchor>
    <xdr:from>
      <xdr:col>41</xdr:col>
      <xdr:colOff>825499</xdr:colOff>
      <xdr:row>12</xdr:row>
      <xdr:rowOff>84667</xdr:rowOff>
    </xdr:from>
    <xdr:to>
      <xdr:col>43</xdr:col>
      <xdr:colOff>193039</xdr:colOff>
      <xdr:row>15</xdr:row>
      <xdr:rowOff>116416</xdr:rowOff>
    </xdr:to>
    <xdr:sp macro="" textlink="">
      <xdr:nvSpPr>
        <xdr:cNvPr id="10" name="Rectangle 9">
          <a:extLst>
            <a:ext uri="{FF2B5EF4-FFF2-40B4-BE49-F238E27FC236}">
              <a16:creationId xmlns:a16="http://schemas.microsoft.com/office/drawing/2014/main" id="{1EE6D332-1805-35AE-4E0A-B283639256B2}"/>
            </a:ext>
          </a:extLst>
        </xdr:cNvPr>
        <xdr:cNvSpPr/>
      </xdr:nvSpPr>
      <xdr:spPr>
        <a:xfrm>
          <a:off x="14276916" y="2338917"/>
          <a:ext cx="1463040" cy="603249"/>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10583</xdr:colOff>
      <xdr:row>4</xdr:row>
      <xdr:rowOff>74085</xdr:rowOff>
    </xdr:from>
    <xdr:to>
      <xdr:col>26</xdr:col>
      <xdr:colOff>185843</xdr:colOff>
      <xdr:row>8</xdr:row>
      <xdr:rowOff>135045</xdr:rowOff>
    </xdr:to>
    <xdr:grpSp>
      <xdr:nvGrpSpPr>
        <xdr:cNvPr id="17" name="Group 16">
          <a:extLst>
            <a:ext uri="{FF2B5EF4-FFF2-40B4-BE49-F238E27FC236}">
              <a16:creationId xmlns:a16="http://schemas.microsoft.com/office/drawing/2014/main" id="{8BC06CD7-A7D3-A14B-C8EA-32480FDCD1AF}"/>
            </a:ext>
          </a:extLst>
        </xdr:cNvPr>
        <xdr:cNvGrpSpPr/>
      </xdr:nvGrpSpPr>
      <xdr:grpSpPr>
        <a:xfrm>
          <a:off x="201083" y="912285"/>
          <a:ext cx="2813685" cy="784860"/>
          <a:chOff x="317500" y="910168"/>
          <a:chExt cx="2651760" cy="822960"/>
        </a:xfrm>
      </xdr:grpSpPr>
      <xdr:sp macro="" textlink="">
        <xdr:nvSpPr>
          <xdr:cNvPr id="12" name="Rectangle: Rounded Corners 11">
            <a:extLst>
              <a:ext uri="{FF2B5EF4-FFF2-40B4-BE49-F238E27FC236}">
                <a16:creationId xmlns:a16="http://schemas.microsoft.com/office/drawing/2014/main" id="{1FF6C656-3C96-CA20-8416-D54C13C7F343}"/>
              </a:ext>
            </a:extLst>
          </xdr:cNvPr>
          <xdr:cNvSpPr/>
        </xdr:nvSpPr>
        <xdr:spPr>
          <a:xfrm>
            <a:off x="317500" y="910168"/>
            <a:ext cx="2651760"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TextBox 12">
            <a:extLst>
              <a:ext uri="{FF2B5EF4-FFF2-40B4-BE49-F238E27FC236}">
                <a16:creationId xmlns:a16="http://schemas.microsoft.com/office/drawing/2014/main" id="{C216333F-A9E4-71E7-E1F4-BB042310ECC8}"/>
              </a:ext>
            </a:extLst>
          </xdr:cNvPr>
          <xdr:cNvSpPr txBox="1"/>
        </xdr:nvSpPr>
        <xdr:spPr>
          <a:xfrm>
            <a:off x="346075" y="986368"/>
            <a:ext cx="24796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Selected Year &amp; Period</a:t>
            </a:r>
          </a:p>
        </xdr:txBody>
      </xdr:sp>
      <xdr:sp macro="" textlink="selected_year">
        <xdr:nvSpPr>
          <xdr:cNvPr id="15" name="Rectangle: Rounded Corners 14">
            <a:extLst>
              <a:ext uri="{FF2B5EF4-FFF2-40B4-BE49-F238E27FC236}">
                <a16:creationId xmlns:a16="http://schemas.microsoft.com/office/drawing/2014/main" id="{1D902599-6817-52C4-E9CB-362E2FB743C9}"/>
              </a:ext>
            </a:extLst>
          </xdr:cNvPr>
          <xdr:cNvSpPr/>
        </xdr:nvSpPr>
        <xdr:spPr>
          <a:xfrm>
            <a:off x="455082" y="1344084"/>
            <a:ext cx="640080" cy="228600"/>
          </a:xfrm>
          <a:prstGeom prst="roundRect">
            <a:avLst>
              <a:gd name="adj" fmla="val 50000"/>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3437E1-343E-4D41-AC01-03F044D7C376}" type="TxLink">
              <a:rPr lang="en-US" sz="1000" b="1" i="0" u="none" strike="noStrike">
                <a:solidFill>
                  <a:srgbClr val="000000"/>
                </a:solidFill>
                <a:latin typeface="Calibri"/>
                <a:ea typeface="Calibri"/>
                <a:cs typeface="Calibri"/>
              </a:rPr>
              <a:pPr algn="ctr"/>
              <a:t>2026</a:t>
            </a:fld>
            <a:endParaRPr lang="en-US" sz="1000" b="1"/>
          </a:p>
        </xdr:txBody>
      </xdr:sp>
      <xdr:sp macro="" textlink="selected_period_display">
        <xdr:nvSpPr>
          <xdr:cNvPr id="16" name="Rectangle: Rounded Corners 15">
            <a:extLst>
              <a:ext uri="{FF2B5EF4-FFF2-40B4-BE49-F238E27FC236}">
                <a16:creationId xmlns:a16="http://schemas.microsoft.com/office/drawing/2014/main" id="{DB30F4CD-3508-43E4-9CEC-8A23E5B84AA4}"/>
              </a:ext>
            </a:extLst>
          </xdr:cNvPr>
          <xdr:cNvSpPr/>
        </xdr:nvSpPr>
        <xdr:spPr>
          <a:xfrm>
            <a:off x="1263649" y="1344084"/>
            <a:ext cx="1097280" cy="228600"/>
          </a:xfrm>
          <a:prstGeom prst="roundRect">
            <a:avLst>
              <a:gd name="adj" fmla="val 50000"/>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17560E-242D-45A8-AB4E-534B67AFDEA8}" type="TxLink">
              <a:rPr lang="en-US" sz="1000" b="1" i="0" u="none" strike="noStrike">
                <a:solidFill>
                  <a:srgbClr val="000000"/>
                </a:solidFill>
                <a:latin typeface="Calibri"/>
                <a:ea typeface="Calibri"/>
                <a:cs typeface="Calibri"/>
              </a:rPr>
              <a:pPr algn="ctr"/>
              <a:t>July</a:t>
            </a:fld>
            <a:endParaRPr lang="en-US" sz="800" b="1"/>
          </a:p>
        </xdr:txBody>
      </xdr:sp>
    </xdr:grpSp>
    <xdr:clientData/>
  </xdr:twoCellAnchor>
  <xdr:twoCellAnchor>
    <xdr:from>
      <xdr:col>26</xdr:col>
      <xdr:colOff>592664</xdr:colOff>
      <xdr:row>4</xdr:row>
      <xdr:rowOff>74085</xdr:rowOff>
    </xdr:from>
    <xdr:to>
      <xdr:col>28</xdr:col>
      <xdr:colOff>338664</xdr:colOff>
      <xdr:row>8</xdr:row>
      <xdr:rowOff>135045</xdr:rowOff>
    </xdr:to>
    <xdr:grpSp>
      <xdr:nvGrpSpPr>
        <xdr:cNvPr id="30" name="Group 29">
          <a:extLst>
            <a:ext uri="{FF2B5EF4-FFF2-40B4-BE49-F238E27FC236}">
              <a16:creationId xmlns:a16="http://schemas.microsoft.com/office/drawing/2014/main" id="{A17C98BF-5A2E-5871-1EC0-B372ED5CC0D7}"/>
            </a:ext>
          </a:extLst>
        </xdr:cNvPr>
        <xdr:cNvGrpSpPr/>
      </xdr:nvGrpSpPr>
      <xdr:grpSpPr>
        <a:xfrm>
          <a:off x="3421589" y="912285"/>
          <a:ext cx="1374775" cy="784860"/>
          <a:chOff x="3270251" y="910168"/>
          <a:chExt cx="1333500" cy="822960"/>
        </a:xfrm>
      </xdr:grpSpPr>
      <xdr:grpSp>
        <xdr:nvGrpSpPr>
          <xdr:cNvPr id="29" name="Group 28">
            <a:extLst>
              <a:ext uri="{FF2B5EF4-FFF2-40B4-BE49-F238E27FC236}">
                <a16:creationId xmlns:a16="http://schemas.microsoft.com/office/drawing/2014/main" id="{83CD5C6E-8004-8732-5DF8-19248CFEC329}"/>
              </a:ext>
            </a:extLst>
          </xdr:cNvPr>
          <xdr:cNvGrpSpPr/>
        </xdr:nvGrpSpPr>
        <xdr:grpSpPr>
          <a:xfrm>
            <a:off x="3270251" y="910168"/>
            <a:ext cx="1333500" cy="822960"/>
            <a:chOff x="3270251" y="910168"/>
            <a:chExt cx="1333500" cy="822960"/>
          </a:xfrm>
        </xdr:grpSpPr>
        <xdr:sp macro="" textlink="">
          <xdr:nvSpPr>
            <xdr:cNvPr id="24" name="Rectangle: Rounded Corners 23">
              <a:extLst>
                <a:ext uri="{FF2B5EF4-FFF2-40B4-BE49-F238E27FC236}">
                  <a16:creationId xmlns:a16="http://schemas.microsoft.com/office/drawing/2014/main" id="{8857E16D-38EB-72C4-03F6-7497A8C88C0F}"/>
                </a:ext>
              </a:extLst>
            </xdr:cNvPr>
            <xdr:cNvSpPr/>
          </xdr:nvSpPr>
          <xdr:spPr>
            <a:xfrm>
              <a:off x="3333752" y="910168"/>
              <a:ext cx="1206501"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5" name="TextBox 24">
              <a:extLst>
                <a:ext uri="{FF2B5EF4-FFF2-40B4-BE49-F238E27FC236}">
                  <a16:creationId xmlns:a16="http://schemas.microsoft.com/office/drawing/2014/main" id="{F74DFFFC-136F-C21C-4DAB-51B4B8B14AAA}"/>
                </a:ext>
              </a:extLst>
            </xdr:cNvPr>
            <xdr:cNvSpPr txBox="1"/>
          </xdr:nvSpPr>
          <xdr:spPr>
            <a:xfrm>
              <a:off x="3427115" y="986368"/>
              <a:ext cx="10197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Period Compl.</a:t>
              </a:r>
            </a:p>
          </xdr:txBody>
        </xdr:sp>
        <xdr:graphicFrame macro="">
          <xdr:nvGraphicFramePr>
            <xdr:cNvPr id="27" name="Chart 26">
              <a:extLst>
                <a:ext uri="{FF2B5EF4-FFF2-40B4-BE49-F238E27FC236}">
                  <a16:creationId xmlns:a16="http://schemas.microsoft.com/office/drawing/2014/main" id="{3CDBE01B-5255-40CA-AE96-9C90DB5BCC16}"/>
                </a:ext>
              </a:extLst>
            </xdr:cNvPr>
            <xdr:cNvGraphicFramePr>
              <a:graphicFrameLocks/>
            </xdr:cNvGraphicFramePr>
          </xdr:nvGraphicFramePr>
          <xdr:xfrm>
            <a:off x="3270251" y="1164166"/>
            <a:ext cx="1333500" cy="487892"/>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Calculations!E24">
        <xdr:nvSpPr>
          <xdr:cNvPr id="26" name="TextBox 25">
            <a:extLst>
              <a:ext uri="{FF2B5EF4-FFF2-40B4-BE49-F238E27FC236}">
                <a16:creationId xmlns:a16="http://schemas.microsoft.com/office/drawing/2014/main" id="{75E2C618-B02F-9A46-5F49-BA89C52B1288}"/>
              </a:ext>
            </a:extLst>
          </xdr:cNvPr>
          <xdr:cNvSpPr txBox="1"/>
        </xdr:nvSpPr>
        <xdr:spPr>
          <a:xfrm>
            <a:off x="3674116" y="1254448"/>
            <a:ext cx="559217"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232950-DC63-413C-BE6A-13DC5B0B895D}" type="TxLink">
              <a:rPr lang="en-US" sz="1200" b="1" i="0" u="none" strike="noStrike" kern="1200">
                <a:solidFill>
                  <a:srgbClr val="000000"/>
                </a:solidFill>
                <a:latin typeface="Calibri"/>
                <a:ea typeface="Calibri"/>
                <a:cs typeface="Calibri"/>
              </a:rPr>
              <a:pPr/>
              <a:t>13%</a:t>
            </a:fld>
            <a:endParaRPr lang="en-US" sz="1400" b="1" kern="1200"/>
          </a:p>
        </xdr:txBody>
      </xdr:sp>
    </xdr:grpSp>
    <xdr:clientData/>
  </xdr:twoCellAnchor>
  <xdr:twoCellAnchor>
    <xdr:from>
      <xdr:col>29</xdr:col>
      <xdr:colOff>95250</xdr:colOff>
      <xdr:row>4</xdr:row>
      <xdr:rowOff>74085</xdr:rowOff>
    </xdr:from>
    <xdr:to>
      <xdr:col>34</xdr:col>
      <xdr:colOff>31750</xdr:colOff>
      <xdr:row>8</xdr:row>
      <xdr:rowOff>135045</xdr:rowOff>
    </xdr:to>
    <xdr:grpSp>
      <xdr:nvGrpSpPr>
        <xdr:cNvPr id="31" name="Group 30">
          <a:extLst>
            <a:ext uri="{FF2B5EF4-FFF2-40B4-BE49-F238E27FC236}">
              <a16:creationId xmlns:a16="http://schemas.microsoft.com/office/drawing/2014/main" id="{64F9493D-E8F3-4832-98A5-D32AD803EB96}"/>
            </a:ext>
          </a:extLst>
        </xdr:cNvPr>
        <xdr:cNvGrpSpPr/>
      </xdr:nvGrpSpPr>
      <xdr:grpSpPr>
        <a:xfrm>
          <a:off x="5276850" y="912285"/>
          <a:ext cx="3536950" cy="784860"/>
          <a:chOff x="7639048" y="1123950"/>
          <a:chExt cx="3457577" cy="822960"/>
        </a:xfrm>
      </xdr:grpSpPr>
      <xdr:sp macro="" textlink="">
        <xdr:nvSpPr>
          <xdr:cNvPr id="32" name="Rectangle: Rounded Corners 31">
            <a:extLst>
              <a:ext uri="{FF2B5EF4-FFF2-40B4-BE49-F238E27FC236}">
                <a16:creationId xmlns:a16="http://schemas.microsoft.com/office/drawing/2014/main" id="{013ED8A8-10C0-58A0-5F06-0E3E732DC274}"/>
              </a:ext>
            </a:extLst>
          </xdr:cNvPr>
          <xdr:cNvSpPr/>
        </xdr:nvSpPr>
        <xdr:spPr>
          <a:xfrm>
            <a:off x="7639048" y="1123950"/>
            <a:ext cx="3448052"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TextBox 32">
            <a:extLst>
              <a:ext uri="{FF2B5EF4-FFF2-40B4-BE49-F238E27FC236}">
                <a16:creationId xmlns:a16="http://schemas.microsoft.com/office/drawing/2014/main" id="{522AF37C-38E6-552A-858F-F802FA06CB6A}"/>
              </a:ext>
            </a:extLst>
          </xdr:cNvPr>
          <xdr:cNvSpPr txBox="1"/>
        </xdr:nvSpPr>
        <xdr:spPr>
          <a:xfrm>
            <a:off x="7667625" y="1219200"/>
            <a:ext cx="18573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Period Tracking Balance</a:t>
            </a:r>
            <a:endParaRPr lang="en-US" sz="1100" b="1" kern="1200" baseline="0"/>
          </a:p>
        </xdr:txBody>
      </xdr:sp>
      <xdr:sp macro="" textlink="Calculations!E25">
        <xdr:nvSpPr>
          <xdr:cNvPr id="34" name="TextBox 33">
            <a:extLst>
              <a:ext uri="{FF2B5EF4-FFF2-40B4-BE49-F238E27FC236}">
                <a16:creationId xmlns:a16="http://schemas.microsoft.com/office/drawing/2014/main" id="{9F3CD6C1-BBE6-AAD4-DE80-DE97A1318074}"/>
              </a:ext>
            </a:extLst>
          </xdr:cNvPr>
          <xdr:cNvSpPr txBox="1"/>
        </xdr:nvSpPr>
        <xdr:spPr>
          <a:xfrm>
            <a:off x="7762875" y="1495425"/>
            <a:ext cx="7048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B1C5E-A5DA-4379-B308-2AB9F4D9EA4F}" type="TxLink">
              <a:rPr lang="en-US" sz="1100" b="0" i="0" u="none" strike="noStrike" kern="1200">
                <a:solidFill>
                  <a:srgbClr val="000000"/>
                </a:solidFill>
                <a:latin typeface="Calibri"/>
                <a:ea typeface="Calibri"/>
                <a:cs typeface="Calibri"/>
              </a:rPr>
              <a:pPr/>
              <a:t> 562 </a:t>
            </a:fld>
            <a:endParaRPr lang="en-US" sz="1800" b="1" kern="1200"/>
          </a:p>
        </xdr:txBody>
      </xdr:sp>
      <xdr:sp macro="" textlink="Calculations!E26">
        <xdr:nvSpPr>
          <xdr:cNvPr id="35" name="TextBox 34">
            <a:extLst>
              <a:ext uri="{FF2B5EF4-FFF2-40B4-BE49-F238E27FC236}">
                <a16:creationId xmlns:a16="http://schemas.microsoft.com/office/drawing/2014/main" id="{DC027895-896D-D0A3-7A54-F37D2A428C1D}"/>
              </a:ext>
            </a:extLst>
          </xdr:cNvPr>
          <xdr:cNvSpPr txBox="1"/>
        </xdr:nvSpPr>
        <xdr:spPr>
          <a:xfrm>
            <a:off x="8496299" y="1492250"/>
            <a:ext cx="26003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FA27ED-A9FD-4CC1-A447-8C57CA314A20}" type="TxLink">
              <a:rPr lang="en-US" sz="1050" b="0" i="0" u="none" strike="noStrike" kern="1200">
                <a:solidFill>
                  <a:srgbClr val="000000"/>
                </a:solidFill>
                <a:latin typeface="Calibri"/>
                <a:ea typeface="Calibri"/>
                <a:cs typeface="Calibri"/>
              </a:rPr>
              <a:pPr/>
              <a:t>of tracked income left to be allocated</a:t>
            </a:fld>
            <a:endParaRPr lang="en-US" sz="900" b="1" kern="1200"/>
          </a:p>
        </xdr:txBody>
      </xdr:sp>
    </xdr:grpSp>
    <xdr:clientData/>
  </xdr:twoCellAnchor>
  <xdr:twoCellAnchor>
    <xdr:from>
      <xdr:col>34</xdr:col>
      <xdr:colOff>406398</xdr:colOff>
      <xdr:row>4</xdr:row>
      <xdr:rowOff>74085</xdr:rowOff>
    </xdr:from>
    <xdr:to>
      <xdr:col>38</xdr:col>
      <xdr:colOff>793750</xdr:colOff>
      <xdr:row>8</xdr:row>
      <xdr:rowOff>135045</xdr:rowOff>
    </xdr:to>
    <xdr:grpSp>
      <xdr:nvGrpSpPr>
        <xdr:cNvPr id="42" name="Group 41">
          <a:extLst>
            <a:ext uri="{FF2B5EF4-FFF2-40B4-BE49-F238E27FC236}">
              <a16:creationId xmlns:a16="http://schemas.microsoft.com/office/drawing/2014/main" id="{8652626F-54D9-404E-18B0-A6C071E72C50}"/>
            </a:ext>
          </a:extLst>
        </xdr:cNvPr>
        <xdr:cNvGrpSpPr/>
      </xdr:nvGrpSpPr>
      <xdr:grpSpPr>
        <a:xfrm>
          <a:off x="9188448" y="912285"/>
          <a:ext cx="3406777" cy="784860"/>
          <a:chOff x="8809565" y="910168"/>
          <a:chExt cx="3160185" cy="822960"/>
        </a:xfrm>
      </xdr:grpSpPr>
      <xdr:sp macro="" textlink="">
        <xdr:nvSpPr>
          <xdr:cNvPr id="37" name="Rectangle: Rounded Corners 36">
            <a:extLst>
              <a:ext uri="{FF2B5EF4-FFF2-40B4-BE49-F238E27FC236}">
                <a16:creationId xmlns:a16="http://schemas.microsoft.com/office/drawing/2014/main" id="{064061D1-8302-54C2-9E95-98E5176C5738}"/>
              </a:ext>
            </a:extLst>
          </xdr:cNvPr>
          <xdr:cNvSpPr/>
        </xdr:nvSpPr>
        <xdr:spPr>
          <a:xfrm>
            <a:off x="8809565" y="910168"/>
            <a:ext cx="3160185" cy="822960"/>
          </a:xfrm>
          <a:prstGeom prst="roundRect">
            <a:avLst>
              <a:gd name="adj" fmla="val 10880"/>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8" name="TextBox 37">
            <a:extLst>
              <a:ext uri="{FF2B5EF4-FFF2-40B4-BE49-F238E27FC236}">
                <a16:creationId xmlns:a16="http://schemas.microsoft.com/office/drawing/2014/main" id="{3F6204BC-A34B-7D47-2BC0-78C4AD34E9E9}"/>
              </a:ext>
            </a:extLst>
          </xdr:cNvPr>
          <xdr:cNvSpPr txBox="1"/>
        </xdr:nvSpPr>
        <xdr:spPr>
          <a:xfrm>
            <a:off x="8836506" y="1005418"/>
            <a:ext cx="175106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Period Savings Rate</a:t>
            </a:r>
          </a:p>
        </xdr:txBody>
      </xdr:sp>
      <xdr:sp macro="" textlink="Calculations!E27">
        <xdr:nvSpPr>
          <xdr:cNvPr id="39" name="TextBox 38">
            <a:extLst>
              <a:ext uri="{FF2B5EF4-FFF2-40B4-BE49-F238E27FC236}">
                <a16:creationId xmlns:a16="http://schemas.microsoft.com/office/drawing/2014/main" id="{B3F0A2B6-3624-A3F0-F5EE-8BCD5CC0E946}"/>
              </a:ext>
            </a:extLst>
          </xdr:cNvPr>
          <xdr:cNvSpPr txBox="1"/>
        </xdr:nvSpPr>
        <xdr:spPr>
          <a:xfrm>
            <a:off x="10102656" y="1281643"/>
            <a:ext cx="66450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E3DB3F-A6E1-4EAA-98B3-1BC610F47CDD}" type="TxLink">
              <a:rPr lang="en-US" sz="1200" b="1" i="0" u="none" strike="noStrike" kern="1200">
                <a:solidFill>
                  <a:srgbClr val="0091FE"/>
                </a:solidFill>
                <a:latin typeface="Calibri"/>
                <a:ea typeface="Calibri"/>
                <a:cs typeface="Calibri"/>
              </a:rPr>
              <a:pPr/>
              <a:t>0%</a:t>
            </a:fld>
            <a:endParaRPr lang="en-US" sz="2000" b="1" kern="1200">
              <a:solidFill>
                <a:srgbClr val="0091FE"/>
              </a:solidFill>
            </a:endParaRPr>
          </a:p>
        </xdr:txBody>
      </xdr:sp>
      <xdr:sp macro="" textlink="">
        <xdr:nvSpPr>
          <xdr:cNvPr id="40" name="TextBox 39">
            <a:extLst>
              <a:ext uri="{FF2B5EF4-FFF2-40B4-BE49-F238E27FC236}">
                <a16:creationId xmlns:a16="http://schemas.microsoft.com/office/drawing/2014/main" id="{E14B41B9-DABF-CAED-44F1-C70F0A38880C}"/>
              </a:ext>
            </a:extLst>
          </xdr:cNvPr>
          <xdr:cNvSpPr txBox="1"/>
        </xdr:nvSpPr>
        <xdr:spPr>
          <a:xfrm>
            <a:off x="8972162" y="1289052"/>
            <a:ext cx="107142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kern="1200">
                <a:solidFill>
                  <a:srgbClr val="000000"/>
                </a:solidFill>
                <a:latin typeface="Calibri"/>
                <a:ea typeface="Calibri"/>
                <a:cs typeface="Calibri"/>
              </a:rPr>
              <a:t>You</a:t>
            </a:r>
            <a:r>
              <a:rPr lang="en-US" sz="1050" b="0" i="0" u="none" strike="noStrike" kern="1200" baseline="0">
                <a:solidFill>
                  <a:srgbClr val="000000"/>
                </a:solidFill>
                <a:latin typeface="Calibri"/>
                <a:ea typeface="Calibri"/>
                <a:cs typeface="Calibri"/>
              </a:rPr>
              <a:t> are saving</a:t>
            </a:r>
            <a:endParaRPr lang="en-US" sz="1050" b="0" i="0" u="none" strike="noStrike" kern="1200">
              <a:solidFill>
                <a:srgbClr val="000000"/>
              </a:solidFill>
              <a:latin typeface="Calibri"/>
              <a:ea typeface="Calibri"/>
              <a:cs typeface="Calibri"/>
            </a:endParaRPr>
          </a:p>
        </xdr:txBody>
      </xdr:sp>
      <xdr:sp macro="" textlink="">
        <xdr:nvSpPr>
          <xdr:cNvPr id="41" name="TextBox 40">
            <a:extLst>
              <a:ext uri="{FF2B5EF4-FFF2-40B4-BE49-F238E27FC236}">
                <a16:creationId xmlns:a16="http://schemas.microsoft.com/office/drawing/2014/main" id="{E91A75F7-D371-40B0-A05E-4D7CB889CFC8}"/>
              </a:ext>
            </a:extLst>
          </xdr:cNvPr>
          <xdr:cNvSpPr txBox="1"/>
        </xdr:nvSpPr>
        <xdr:spPr>
          <a:xfrm>
            <a:off x="10659151" y="1289052"/>
            <a:ext cx="107142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kern="1200">
                <a:solidFill>
                  <a:srgbClr val="000000"/>
                </a:solidFill>
                <a:latin typeface="Calibri"/>
                <a:ea typeface="Calibri"/>
                <a:cs typeface="Calibri"/>
              </a:rPr>
              <a:t>of your</a:t>
            </a:r>
            <a:r>
              <a:rPr lang="en-US" sz="1050" b="0" i="0" u="none" strike="noStrike" kern="1200" baseline="0">
                <a:solidFill>
                  <a:srgbClr val="000000"/>
                </a:solidFill>
                <a:latin typeface="Calibri"/>
                <a:ea typeface="Calibri"/>
                <a:cs typeface="Calibri"/>
              </a:rPr>
              <a:t> income</a:t>
            </a:r>
          </a:p>
        </xdr:txBody>
      </xdr:sp>
    </xdr:grpSp>
    <xdr:clientData/>
  </xdr:twoCellAnchor>
  <mc:AlternateContent xmlns:mc="http://schemas.openxmlformats.org/markup-compatibility/2006">
    <mc:Choice xmlns:a14="http://schemas.microsoft.com/office/drawing/2010/main" Requires="a14">
      <xdr:twoCellAnchor editAs="oneCell">
        <xdr:from>
          <xdr:col>1</xdr:col>
          <xdr:colOff>40481</xdr:colOff>
          <xdr:row>39</xdr:row>
          <xdr:rowOff>142875</xdr:rowOff>
        </xdr:from>
        <xdr:to>
          <xdr:col>37</xdr:col>
          <xdr:colOff>38100</xdr:colOff>
          <xdr:row>49</xdr:row>
          <xdr:rowOff>161925</xdr:rowOff>
        </xdr:to>
        <xdr:pic>
          <xdr:nvPicPr>
            <xdr:cNvPr id="14" name="Picture 13">
              <a:extLst>
                <a:ext uri="{FF2B5EF4-FFF2-40B4-BE49-F238E27FC236}">
                  <a16:creationId xmlns:a16="http://schemas.microsoft.com/office/drawing/2014/main" id="{3F7C1839-E00A-0964-C511-79F82AC6474E}"/>
                </a:ext>
              </a:extLst>
            </xdr:cNvPr>
            <xdr:cNvPicPr>
              <a:picLocks noChangeAspect="1" noChangeArrowheads="1"/>
              <a:extLst>
                <a:ext uri="{84589F7E-364E-4C9E-8A38-B11213B215E9}">
                  <a14:cameraTool cellRange="'Savings Accounts'!$B$2:$Q$11" spid="_x0000_s2492"/>
                </a:ext>
              </a:extLst>
            </xdr:cNvPicPr>
          </xdr:nvPicPr>
          <xdr:blipFill>
            <a:blip xmlns:r="http://schemas.openxmlformats.org/officeDocument/2006/relationships" r:embed="rId6"/>
            <a:srcRect/>
            <a:stretch>
              <a:fillRect/>
            </a:stretch>
          </xdr:blipFill>
          <xdr:spPr bwMode="auto">
            <a:xfrm>
              <a:off x="123825" y="7477125"/>
              <a:ext cx="11153775" cy="19240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absolute">
    <xdr:from>
      <xdr:col>3</xdr:col>
      <xdr:colOff>57152</xdr:colOff>
      <xdr:row>3</xdr:row>
      <xdr:rowOff>2</xdr:rowOff>
    </xdr:from>
    <xdr:to>
      <xdr:col>4</xdr:col>
      <xdr:colOff>200026</xdr:colOff>
      <xdr:row>10</xdr:row>
      <xdr:rowOff>76200</xdr:rowOff>
    </xdr:to>
    <xdr:graphicFrame macro="">
      <xdr:nvGraphicFramePr>
        <xdr:cNvPr id="2" name="Chart 1">
          <a:extLst>
            <a:ext uri="{FF2B5EF4-FFF2-40B4-BE49-F238E27FC236}">
              <a16:creationId xmlns:a16="http://schemas.microsoft.com/office/drawing/2014/main" id="{51C52532-6C1F-48D1-ADFE-EF374650C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95251</xdr:colOff>
      <xdr:row>3</xdr:row>
      <xdr:rowOff>2</xdr:rowOff>
    </xdr:from>
    <xdr:to>
      <xdr:col>8</xdr:col>
      <xdr:colOff>238124</xdr:colOff>
      <xdr:row>10</xdr:row>
      <xdr:rowOff>76200</xdr:rowOff>
    </xdr:to>
    <xdr:graphicFrame macro="">
      <xdr:nvGraphicFramePr>
        <xdr:cNvPr id="3" name="Chart 2">
          <a:extLst>
            <a:ext uri="{FF2B5EF4-FFF2-40B4-BE49-F238E27FC236}">
              <a16:creationId xmlns:a16="http://schemas.microsoft.com/office/drawing/2014/main" id="{3A2BC6D8-44AE-5298-1371-34EA86D0B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121919</xdr:colOff>
      <xdr:row>3</xdr:row>
      <xdr:rowOff>2</xdr:rowOff>
    </xdr:from>
    <xdr:to>
      <xdr:col>12</xdr:col>
      <xdr:colOff>247650</xdr:colOff>
      <xdr:row>10</xdr:row>
      <xdr:rowOff>76200</xdr:rowOff>
    </xdr:to>
    <xdr:graphicFrame macro="">
      <xdr:nvGraphicFramePr>
        <xdr:cNvPr id="4" name="Chart 3">
          <a:extLst>
            <a:ext uri="{FF2B5EF4-FFF2-40B4-BE49-F238E27FC236}">
              <a16:creationId xmlns:a16="http://schemas.microsoft.com/office/drawing/2014/main" id="{CE8B4EDE-4386-07D9-4C5C-C67CEB3B6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15</xdr:col>
      <xdr:colOff>85727</xdr:colOff>
      <xdr:row>3</xdr:row>
      <xdr:rowOff>2</xdr:rowOff>
    </xdr:from>
    <xdr:to>
      <xdr:col>16</xdr:col>
      <xdr:colOff>95251</xdr:colOff>
      <xdr:row>10</xdr:row>
      <xdr:rowOff>76200</xdr:rowOff>
    </xdr:to>
    <xdr:graphicFrame macro="">
      <xdr:nvGraphicFramePr>
        <xdr:cNvPr id="5" name="Chart 4">
          <a:extLst>
            <a:ext uri="{FF2B5EF4-FFF2-40B4-BE49-F238E27FC236}">
              <a16:creationId xmlns:a16="http://schemas.microsoft.com/office/drawing/2014/main" id="{C63B4D95-8247-9CCE-B10F-6267732D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171450</xdr:rowOff>
    </xdr:from>
    <xdr:to>
      <xdr:col>3</xdr:col>
      <xdr:colOff>1554480</xdr:colOff>
      <xdr:row>26</xdr:row>
      <xdr:rowOff>171450</xdr:rowOff>
    </xdr:to>
    <xdr:graphicFrame macro="">
      <xdr:nvGraphicFramePr>
        <xdr:cNvPr id="3" name="Chart 2">
          <a:extLst>
            <a:ext uri="{FF2B5EF4-FFF2-40B4-BE49-F238E27FC236}">
              <a16:creationId xmlns:a16="http://schemas.microsoft.com/office/drawing/2014/main" id="{A74DACF5-BA74-D0C1-6C8F-38ADCBCD1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1539240</xdr:colOff>
      <xdr:row>14</xdr:row>
      <xdr:rowOff>179070</xdr:rowOff>
    </xdr:from>
    <xdr:to>
      <xdr:col>6</xdr:col>
      <xdr:colOff>571500</xdr:colOff>
      <xdr:row>26</xdr:row>
      <xdr:rowOff>167640</xdr:rowOff>
    </xdr:to>
    <xdr:graphicFrame macro="">
      <xdr:nvGraphicFramePr>
        <xdr:cNvPr id="6" name="Chart 5">
          <a:extLst>
            <a:ext uri="{FF2B5EF4-FFF2-40B4-BE49-F238E27FC236}">
              <a16:creationId xmlns:a16="http://schemas.microsoft.com/office/drawing/2014/main" id="{8FFC8D1E-06DE-9B18-50A7-92ED22610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594360</xdr:colOff>
      <xdr:row>15</xdr:row>
      <xdr:rowOff>144780</xdr:rowOff>
    </xdr:from>
    <xdr:to>
      <xdr:col>7</xdr:col>
      <xdr:colOff>1082040</xdr:colOff>
      <xdr:row>26</xdr:row>
      <xdr:rowOff>167640</xdr:rowOff>
    </xdr:to>
    <xdr:graphicFrame macro="">
      <xdr:nvGraphicFramePr>
        <xdr:cNvPr id="4" name="Chart 3">
          <a:extLst>
            <a:ext uri="{FF2B5EF4-FFF2-40B4-BE49-F238E27FC236}">
              <a16:creationId xmlns:a16="http://schemas.microsoft.com/office/drawing/2014/main" id="{A232A8EE-F6C4-B887-6D17-9370A45FC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243417</xdr:colOff>
      <xdr:row>32</xdr:row>
      <xdr:rowOff>74083</xdr:rowOff>
    </xdr:from>
    <xdr:to>
      <xdr:col>15</xdr:col>
      <xdr:colOff>1248833</xdr:colOff>
      <xdr:row>36</xdr:row>
      <xdr:rowOff>179916</xdr:rowOff>
    </xdr:to>
    <xdr:sp macro="" textlink="">
      <xdr:nvSpPr>
        <xdr:cNvPr id="5" name="Rectangle: Rounded Corners 4">
          <a:extLst>
            <a:ext uri="{FF2B5EF4-FFF2-40B4-BE49-F238E27FC236}">
              <a16:creationId xmlns:a16="http://schemas.microsoft.com/office/drawing/2014/main" id="{C9AE025E-E678-D655-E763-C07948D5B34E}"/>
            </a:ext>
          </a:extLst>
        </xdr:cNvPr>
        <xdr:cNvSpPr/>
      </xdr:nvSpPr>
      <xdr:spPr>
        <a:xfrm>
          <a:off x="15049500" y="6318250"/>
          <a:ext cx="2010833" cy="867833"/>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i="1">
              <a:solidFill>
                <a:schemeClr val="bg1">
                  <a:lumMod val="50000"/>
                </a:schemeClr>
              </a:solidFill>
              <a:latin typeface="Aptos Narrow" panose="020B0004020202020204" pitchFamily="34" charset="0"/>
            </a:rPr>
            <a:t>← </a:t>
          </a:r>
          <a:r>
            <a:rPr lang="en-US" sz="1100" i="1">
              <a:solidFill>
                <a:schemeClr val="bg1">
                  <a:lumMod val="50000"/>
                </a:schemeClr>
              </a:solidFill>
            </a:rPr>
            <a:t>Income, Expenses, and Savings for the current selected period</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nancial%20Tracking%20'25.xlsx" TargetMode="External"/><Relationship Id="rId2" Type="http://schemas.openxmlformats.org/officeDocument/2006/relationships/externalLinkPath" Target="file:///C:\Users\harms\Desktop\Financial%20Tracking%20'25.xlsx" TargetMode="External"/><Relationship Id="rId1" Type="http://schemas.openxmlformats.org/officeDocument/2006/relationships/externalLinkPath" Target="/Users/harms/Desktop/Financial%20Tracking%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et Worth Value"/>
      <sheetName val="Schwab Account Value"/>
      <sheetName val="Savings Account Value"/>
      <sheetName val="Checking Account Value"/>
      <sheetName val="Bond Account Value"/>
      <sheetName val="Grounds Paychecks"/>
    </sheetNames>
    <sheetDataSet>
      <sheetData sheetId="0"/>
      <sheetData sheetId="1"/>
      <sheetData sheetId="2">
        <row r="3">
          <cell r="F3">
            <v>3107.21</v>
          </cell>
        </row>
        <row r="4">
          <cell r="F4">
            <v>3107.21</v>
          </cell>
        </row>
        <row r="5">
          <cell r="F5">
            <v>3118.13</v>
          </cell>
        </row>
        <row r="6">
          <cell r="F6">
            <v>3118.13</v>
          </cell>
        </row>
        <row r="7">
          <cell r="F7">
            <v>3118.13</v>
          </cell>
        </row>
        <row r="8">
          <cell r="F8">
            <v>5000.13</v>
          </cell>
        </row>
        <row r="9">
          <cell r="F9">
            <v>5000.13</v>
          </cell>
        </row>
        <row r="10">
          <cell r="F10">
            <v>5314.17</v>
          </cell>
        </row>
        <row r="11">
          <cell r="F11">
            <v>5314.17</v>
          </cell>
        </row>
        <row r="12">
          <cell r="F12">
            <v>5314.17</v>
          </cell>
        </row>
        <row r="13">
          <cell r="F13">
            <v>5314.17</v>
          </cell>
        </row>
        <row r="14">
          <cell r="F14">
            <v>5314.17</v>
          </cell>
        </row>
        <row r="15">
          <cell r="F15">
            <v>5314.17</v>
          </cell>
        </row>
        <row r="16">
          <cell r="F16">
            <v>5314.17</v>
          </cell>
        </row>
        <row r="17">
          <cell r="F17">
            <v>5314.17</v>
          </cell>
        </row>
        <row r="18">
          <cell r="F18">
            <v>5314.17</v>
          </cell>
        </row>
        <row r="19">
          <cell r="F19">
            <v>5314.17</v>
          </cell>
        </row>
        <row r="20">
          <cell r="F20">
            <v>3469.63</v>
          </cell>
        </row>
        <row r="21">
          <cell r="F21">
            <v>3486.63</v>
          </cell>
        </row>
        <row r="22">
          <cell r="F22">
            <v>3486.63</v>
          </cell>
        </row>
        <row r="23">
          <cell r="F23">
            <v>3500.84</v>
          </cell>
        </row>
        <row r="24">
          <cell r="F24">
            <v>3315.84</v>
          </cell>
        </row>
        <row r="25">
          <cell r="F25">
            <v>3315.84</v>
          </cell>
        </row>
        <row r="26">
          <cell r="F26">
            <v>3647.91</v>
          </cell>
        </row>
        <row r="27">
          <cell r="F27">
            <v>3659.47</v>
          </cell>
        </row>
        <row r="28">
          <cell r="F28">
            <v>3659.47</v>
          </cell>
        </row>
        <row r="29">
          <cell r="F29">
            <v>3659.47</v>
          </cell>
        </row>
        <row r="30">
          <cell r="F30">
            <v>3659.47</v>
          </cell>
        </row>
        <row r="31">
          <cell r="F31">
            <v>3671.53</v>
          </cell>
        </row>
        <row r="32">
          <cell r="F32">
            <v>3671.53</v>
          </cell>
        </row>
        <row r="33">
          <cell r="F33">
            <v>3000.53</v>
          </cell>
        </row>
        <row r="34">
          <cell r="F34">
            <v>3000.53</v>
          </cell>
        </row>
        <row r="35">
          <cell r="F35">
            <v>3000.53</v>
          </cell>
        </row>
        <row r="36">
          <cell r="F36">
            <v>3012.49</v>
          </cell>
        </row>
        <row r="37">
          <cell r="F37">
            <v>3012.49</v>
          </cell>
        </row>
        <row r="38">
          <cell r="F38">
            <v>3312.49</v>
          </cell>
        </row>
        <row r="39">
          <cell r="F39">
            <v>3312.49</v>
          </cell>
        </row>
        <row r="40">
          <cell r="F40">
            <v>3322.36</v>
          </cell>
        </row>
        <row r="41">
          <cell r="F41">
            <v>3422.36</v>
          </cell>
        </row>
        <row r="42">
          <cell r="F42">
            <v>3968.36</v>
          </cell>
        </row>
        <row r="43">
          <cell r="F43">
            <v>3968.36</v>
          </cell>
        </row>
        <row r="44">
          <cell r="F44">
            <v>4131.3600000000006</v>
          </cell>
        </row>
        <row r="45">
          <cell r="F45">
            <v>4142.41</v>
          </cell>
        </row>
        <row r="46">
          <cell r="F46">
            <v>4142.41</v>
          </cell>
        </row>
        <row r="47">
          <cell r="F47">
            <v>4572.68</v>
          </cell>
        </row>
        <row r="48">
          <cell r="F48">
            <v>4572.68</v>
          </cell>
        </row>
        <row r="49">
          <cell r="F49">
            <v>4572.68</v>
          </cell>
        </row>
        <row r="50">
          <cell r="F50"/>
        </row>
        <row r="51">
          <cell r="F51"/>
        </row>
        <row r="52">
          <cell r="F52"/>
        </row>
        <row r="53">
          <cell r="F53"/>
        </row>
        <row r="54">
          <cell r="F54"/>
        </row>
      </sheetData>
      <sheetData sheetId="3">
        <row r="3">
          <cell r="F3">
            <v>389.61</v>
          </cell>
        </row>
        <row r="4">
          <cell r="F4">
            <v>339.41</v>
          </cell>
        </row>
        <row r="5">
          <cell r="F5">
            <v>290.52</v>
          </cell>
        </row>
        <row r="6">
          <cell r="F6">
            <v>231.27</v>
          </cell>
        </row>
        <row r="7">
          <cell r="F7">
            <v>526.57000000000005</v>
          </cell>
        </row>
        <row r="8">
          <cell r="F8">
            <v>474.38</v>
          </cell>
        </row>
        <row r="9">
          <cell r="F9">
            <v>655.34</v>
          </cell>
        </row>
        <row r="10">
          <cell r="F10">
            <v>292.77</v>
          </cell>
        </row>
        <row r="11">
          <cell r="F11">
            <v>317</v>
          </cell>
        </row>
        <row r="12">
          <cell r="F12">
            <v>432.9</v>
          </cell>
        </row>
        <row r="13">
          <cell r="F13">
            <v>293.58999999999997</v>
          </cell>
        </row>
        <row r="14">
          <cell r="F14">
            <v>219.72</v>
          </cell>
        </row>
        <row r="15">
          <cell r="F15">
            <v>304.12</v>
          </cell>
        </row>
        <row r="16">
          <cell r="F16">
            <v>549.13</v>
          </cell>
        </row>
        <row r="17">
          <cell r="F17">
            <v>666.53</v>
          </cell>
        </row>
        <row r="18">
          <cell r="F18">
            <v>268.16000000000003</v>
          </cell>
        </row>
        <row r="19">
          <cell r="F19">
            <v>503.77</v>
          </cell>
        </row>
        <row r="20">
          <cell r="F20">
            <v>312.49</v>
          </cell>
        </row>
        <row r="21">
          <cell r="F21">
            <v>339.62</v>
          </cell>
        </row>
        <row r="22">
          <cell r="F22">
            <v>298.60000000000002</v>
          </cell>
        </row>
        <row r="23">
          <cell r="F23">
            <v>355.98</v>
          </cell>
        </row>
        <row r="24">
          <cell r="F24">
            <v>103.83</v>
          </cell>
        </row>
        <row r="25">
          <cell r="F25">
            <v>65.69</v>
          </cell>
        </row>
        <row r="26">
          <cell r="F26">
            <v>37.14</v>
          </cell>
        </row>
        <row r="27">
          <cell r="F27">
            <v>397.45</v>
          </cell>
        </row>
        <row r="28">
          <cell r="F28">
            <v>272.87</v>
          </cell>
        </row>
        <row r="29">
          <cell r="F29">
            <v>497.07000000000005</v>
          </cell>
        </row>
        <row r="30">
          <cell r="F30">
            <v>1250.7</v>
          </cell>
        </row>
        <row r="31">
          <cell r="F31">
            <v>1153.8</v>
          </cell>
        </row>
        <row r="32">
          <cell r="F32">
            <v>1390.04</v>
          </cell>
        </row>
        <row r="33">
          <cell r="F33">
            <v>1322.31</v>
          </cell>
        </row>
        <row r="34">
          <cell r="F34">
            <v>1607.7</v>
          </cell>
        </row>
        <row r="35">
          <cell r="F35">
            <v>661.11999999999989</v>
          </cell>
        </row>
        <row r="36">
          <cell r="F36">
            <v>1482.02</v>
          </cell>
        </row>
        <row r="37">
          <cell r="F37">
            <v>851.87</v>
          </cell>
        </row>
        <row r="38">
          <cell r="F38">
            <v>1659.69</v>
          </cell>
        </row>
        <row r="39">
          <cell r="F39">
            <v>810.64</v>
          </cell>
        </row>
        <row r="40">
          <cell r="F40">
            <v>1378.99</v>
          </cell>
        </row>
        <row r="41">
          <cell r="F41">
            <v>1079.54</v>
          </cell>
        </row>
        <row r="42">
          <cell r="F42">
            <v>1167.01</v>
          </cell>
        </row>
        <row r="43">
          <cell r="F43">
            <v>971.44</v>
          </cell>
        </row>
        <row r="44">
          <cell r="F44">
            <v>1101.6500000000001</v>
          </cell>
        </row>
        <row r="45">
          <cell r="F45">
            <v>973.66</v>
          </cell>
        </row>
        <row r="46">
          <cell r="F46">
            <v>1444.28</v>
          </cell>
        </row>
        <row r="47">
          <cell r="F47">
            <v>917</v>
          </cell>
        </row>
        <row r="48">
          <cell r="F48">
            <v>917</v>
          </cell>
        </row>
        <row r="49">
          <cell r="F49">
            <v>917</v>
          </cell>
        </row>
        <row r="50">
          <cell r="F50"/>
        </row>
        <row r="51">
          <cell r="F51"/>
        </row>
        <row r="52">
          <cell r="F52"/>
        </row>
        <row r="53">
          <cell r="F53"/>
        </row>
        <row r="54">
          <cell r="F54"/>
        </row>
      </sheetData>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Hayden Harms" id="{E01B3DEA-482D-4911-8B7B-C531D7A9B38D}" userId="S::hharms0101@dbu.edu::6e371c7c-e265-45cc-aef5-2c821c62a3e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2FABA-A230-412D-A14B-6ADE988F8D65}" name="Income" displayName="Income" ref="C9:C15" totalsRowShown="0" headerRowDxfId="69" dataDxfId="68">
  <autoFilter ref="C9:C15" xr:uid="{6642FABA-A230-412D-A14B-6ADE988F8D65}">
    <filterColumn colId="0" hiddenButton="1"/>
  </autoFilter>
  <tableColumns count="1">
    <tableColumn id="1" xr3:uid="{F7DA8882-85F7-4CB6-A606-F5B5915FCD88}" name="Income" dataDxfId="67"/>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970212-7E99-417D-B39E-38B77A23DD78}" name="Expenses" displayName="Expenses" ref="C22:C31" totalsRowShown="0" headerRowDxfId="66" dataDxfId="65">
  <autoFilter ref="C22:C31" xr:uid="{C3970212-7E99-417D-B39E-38B77A23DD78}">
    <filterColumn colId="0" hiddenButton="1"/>
  </autoFilter>
  <tableColumns count="1">
    <tableColumn id="1" xr3:uid="{9C6EFC57-29E7-4016-8570-A0DD112BC0CA}" name="Expenses" dataDxfId="64"/>
  </tableColumns>
  <tableStyleInfo name="Expenses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0FAF65-ECB7-4DB9-B1FB-2745FB31BEFE}" name="Savings" displayName="Savings" ref="C35:C39" totalsRowShown="0" headerRowDxfId="63" dataDxfId="62">
  <autoFilter ref="C35:C39" xr:uid="{9A0FAF65-ECB7-4DB9-B1FB-2745FB31BEFE}"/>
  <tableColumns count="1">
    <tableColumn id="1" xr3:uid="{6BE4077D-EFE9-4B41-99AD-7183ADA4384B}" name="Savings" dataDxfId="61"/>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DD7CAD-4517-45B2-B732-DFB837C38DD4}" name="Tracking" displayName="Tracking" ref="C11:I911" totalsRowShown="0" headerRowDxfId="60" dataDxfId="59">
  <autoFilter ref="C11:I911" xr:uid="{F9DD7CAD-4517-45B2-B732-DFB837C38DD4}">
    <filterColumn colId="0">
      <filters>
        <dateGroupItem year="2026" dateTimeGrouping="year"/>
      </filters>
    </filterColumn>
  </autoFilter>
  <sortState xmlns:xlrd2="http://schemas.microsoft.com/office/spreadsheetml/2017/richdata2" ref="C12:I358">
    <sortCondition ref="C11:C358"/>
  </sortState>
  <tableColumns count="7">
    <tableColumn id="1" xr3:uid="{44AA0F96-B5FF-40B5-B62F-F40160B1377D}" name="Date" dataDxfId="58"/>
    <tableColumn id="2" xr3:uid="{F9DD8338-5561-439E-8F46-E446016418B4}" name="Type" dataDxfId="57"/>
    <tableColumn id="3" xr3:uid="{1B5B27E6-AB8E-4585-A547-E0FA187D5040}" name="Category" dataDxfId="56"/>
    <tableColumn id="4" xr3:uid="{563B1CBD-C887-4251-9327-D180F535F53A}" name="Amount" dataDxfId="55"/>
    <tableColumn id="5" xr3:uid="{75EAF9D6-F22A-4E79-B2F7-99838E3ED376}" name="Details" dataDxfId="54"/>
    <tableColumn id="6" xr3:uid="{C2477064-2C8C-4FCB-A59A-4057F4CB4269}" name="Balance" dataDxfId="53">
      <calculatedColumnFormula array="1">SUMPRODUCT(Tracking[Amount],--(Tracking[Date]&lt;=Tracking[[#This Row],[Date]]),(Tracking[Type]&lt;&gt;"Income")*(-1)+(Tracking[Type]="Income"))</calculatedColumnFormula>
    </tableColumn>
    <tableColumn id="7" xr3:uid="{5FF44BEC-8DCC-478C-8DB8-A267B079F30B}" name="Effective Date" dataDxfId="52">
      <calculatedColumnFormula>IF(AND(Tracking[[#This Row],[Type]]="Income",shift_late_income_status="Active",DAY(Tracking[[#This Row],[Date]])&gt;=shift_late_income_starting_day),DATE(YEAR(Tracking[[#This Row],[Date]]),MONTH(Tracking[[#This Row],[Date]])+1,1),Tracking[[#This Row],[Date]])</calculatedColumnFormula>
    </tableColumn>
  </tableColumns>
  <tableStyleInfo name="Tracking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502EF1-E42D-4B62-9399-F267BF41728F}" name="aa_accounts" displayName="aa_accounts" ref="B3:I8" totalsRowShown="0" headerRowDxfId="51" headerRowBorderDxfId="50">
  <autoFilter ref="B3:I8" xr:uid="{5C502EF1-E42D-4B62-9399-F267BF41728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E16A572-7024-4379-818F-576B87233C8D}" name="U.S. Indices" dataDxfId="49"/>
    <tableColumn id="2" xr3:uid="{ED49C25F-0903-4AEF-93F6-8EA17BA889FD}" name="U.S. Amount" dataDxfId="48"/>
    <tableColumn id="3" xr3:uid="{7B367F4A-F495-43AE-8C3C-A00D42FF8656}" name="World Index" dataDxfId="47"/>
    <tableColumn id="4" xr3:uid="{62FA4C8F-5599-459B-B311-46E9576B2B5D}" name="Index Amount" dataDxfId="46"/>
    <tableColumn id="5" xr3:uid="{129F833B-6B4B-40A3-8683-C6CC848FDA55}" name="Cash Accounts" dataDxfId="45"/>
    <tableColumn id="6" xr3:uid="{9B2B4033-A5E2-4DC9-98FA-D9EF28D24026}" name="Cash Amount" dataDxfId="44"/>
    <tableColumn id="7" xr3:uid="{FF07FF85-99D9-40FB-990E-279F52365D70}" name="Crypto" dataDxfId="43"/>
    <tableColumn id="8" xr3:uid="{5ACD6F1A-6B52-40C6-847B-A79829BBCBD0}" name="Crypto Amount" dataDxfId="4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D17E3-9E41-4457-9567-B457D1169020}" name="aa_totals" displayName="aa_totals" ref="B10:E11" totalsRowShown="0" headerRowDxfId="41" dataDxfId="39" headerRowBorderDxfId="40">
  <autoFilter ref="B10:E11" xr:uid="{5CAD17E3-9E41-4457-9567-B457D1169020}">
    <filterColumn colId="0" hiddenButton="1"/>
    <filterColumn colId="1" hiddenButton="1"/>
    <filterColumn colId="2" hiddenButton="1"/>
    <filterColumn colId="3" hiddenButton="1"/>
  </autoFilter>
  <tableColumns count="4">
    <tableColumn id="1" xr3:uid="{DA97969B-F9CB-4751-AA03-B5B5D198A167}" name="U.S. Market" dataDxfId="38">
      <calculatedColumnFormula>SUM(aa_accounts[U.S. Amount])</calculatedColumnFormula>
    </tableColumn>
    <tableColumn id="2" xr3:uid="{66C28914-7D08-473C-B424-8FC3E407F7CE}" name="World Index" dataDxfId="37">
      <calculatedColumnFormula>SUM(aa_accounts[Index Amount])</calculatedColumnFormula>
    </tableColumn>
    <tableColumn id="4" xr3:uid="{E76481B6-9662-412B-940C-CD99CC7F3EA4}" name="Cryptocurrency" dataDxfId="36">
      <calculatedColumnFormula>SUM(aa_accounts[Crypto Amount])</calculatedColumnFormula>
    </tableColumn>
    <tableColumn id="5" xr3:uid="{8E5F4FB2-681C-4946-94D8-5BBFB7670986}" name="Cash &amp; Cash Equivalents" dataDxfId="35">
      <calculatedColumnFormula>SUM(aa_accounts[Cash Amount])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 dT="2025-06-15T21:51:53.60" personId="{E01B3DEA-482D-4911-8B7B-C531D7A9B38D}" id="{20B5F35F-A397-4928-A6BB-7A53AE140E9A}">
    <text>Tax loss harvest vehicle</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drawing" Target="../drawings/drawing4.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5BE3-08E2-408C-8953-E93E918CFE5A}">
  <sheetPr>
    <tabColor theme="0" tint="-0.14999847407452621"/>
  </sheetPr>
  <dimension ref="C1:H25"/>
  <sheetViews>
    <sheetView showGridLines="0" workbookViewId="0">
      <pane ySplit="3" topLeftCell="A4" activePane="bottomLeft" state="frozen"/>
      <selection pane="bottomLeft" activeCell="E22" sqref="E22"/>
    </sheetView>
  </sheetViews>
  <sheetFormatPr defaultColWidth="9.109375" defaultRowHeight="14.4" x14ac:dyDescent="0.3"/>
  <cols>
    <col min="1" max="2" width="4" style="1" customWidth="1"/>
    <col min="3" max="3" width="2.44140625" style="1" customWidth="1"/>
    <col min="4" max="4" width="27.6640625" style="1" customWidth="1"/>
    <col min="5" max="5" width="26.109375" style="1" customWidth="1"/>
    <col min="6" max="6" width="2.6640625" style="1" customWidth="1"/>
    <col min="7" max="7" width="76.44140625" style="1" customWidth="1"/>
    <col min="8" max="8" width="2.44140625" style="1" customWidth="1"/>
    <col min="9" max="16384" width="9.109375" style="1"/>
  </cols>
  <sheetData>
    <row r="1" spans="3:8" s="2" customFormat="1" ht="12.75" customHeight="1" x14ac:dyDescent="0.3">
      <c r="C1" s="3"/>
    </row>
    <row r="2" spans="3:8" s="2" customFormat="1" ht="33.6" x14ac:dyDescent="0.3">
      <c r="C2" s="5" t="s">
        <v>0</v>
      </c>
    </row>
    <row r="3" spans="3:8" s="4" customFormat="1" ht="12.75" customHeight="1" x14ac:dyDescent="0.3"/>
    <row r="6" spans="3:8" x14ac:dyDescent="0.3">
      <c r="C6" s="6"/>
      <c r="D6" s="183" t="s">
        <v>1</v>
      </c>
      <c r="E6" s="183"/>
      <c r="F6" s="183"/>
      <c r="G6" s="183"/>
      <c r="H6" s="7"/>
    </row>
    <row r="7" spans="3:8" x14ac:dyDescent="0.3">
      <c r="C7" s="8"/>
      <c r="H7" s="10"/>
    </row>
    <row r="8" spans="3:8" x14ac:dyDescent="0.3">
      <c r="C8" s="8"/>
      <c r="D8" s="9" t="s">
        <v>2</v>
      </c>
      <c r="E8" s="14">
        <v>2025</v>
      </c>
      <c r="G8" s="19" t="s">
        <v>3</v>
      </c>
      <c r="H8" s="10"/>
    </row>
    <row r="9" spans="3:8" x14ac:dyDescent="0.3">
      <c r="C9" s="11"/>
      <c r="D9" s="12"/>
      <c r="E9" s="12"/>
      <c r="F9" s="12"/>
      <c r="G9" s="12"/>
      <c r="H9" s="13"/>
    </row>
    <row r="12" spans="3:8" x14ac:dyDescent="0.3">
      <c r="C12" s="6"/>
      <c r="D12" s="183" t="s">
        <v>25</v>
      </c>
      <c r="E12" s="183"/>
      <c r="F12" s="183"/>
      <c r="G12" s="183"/>
      <c r="H12" s="7"/>
    </row>
    <row r="13" spans="3:8" x14ac:dyDescent="0.3">
      <c r="C13" s="8"/>
      <c r="H13" s="10"/>
    </row>
    <row r="14" spans="3:8" x14ac:dyDescent="0.3">
      <c r="C14" s="8"/>
      <c r="D14" s="44" t="s">
        <v>26</v>
      </c>
      <c r="H14" s="10"/>
    </row>
    <row r="15" spans="3:8" x14ac:dyDescent="0.3">
      <c r="C15" s="8"/>
      <c r="H15" s="10"/>
    </row>
    <row r="16" spans="3:8" x14ac:dyDescent="0.3">
      <c r="C16" s="8"/>
      <c r="D16" s="45" t="s">
        <v>27</v>
      </c>
      <c r="E16" s="14" t="s">
        <v>112</v>
      </c>
      <c r="G16" s="184" t="s">
        <v>29</v>
      </c>
      <c r="H16" s="10"/>
    </row>
    <row r="17" spans="3:8" ht="6.75" customHeight="1" x14ac:dyDescent="0.3">
      <c r="C17" s="46"/>
      <c r="G17" s="184"/>
      <c r="H17" s="47"/>
    </row>
    <row r="18" spans="3:8" x14ac:dyDescent="0.3">
      <c r="C18" s="46"/>
      <c r="D18" s="45" t="s">
        <v>28</v>
      </c>
      <c r="E18" s="14">
        <v>25</v>
      </c>
      <c r="G18" s="184"/>
      <c r="H18" s="47"/>
    </row>
    <row r="19" spans="3:8" x14ac:dyDescent="0.3">
      <c r="C19" s="46"/>
      <c r="H19" s="47"/>
    </row>
    <row r="20" spans="3:8" x14ac:dyDescent="0.3">
      <c r="C20" s="46"/>
      <c r="D20" s="44" t="s">
        <v>100</v>
      </c>
      <c r="H20" s="47"/>
    </row>
    <row r="21" spans="3:8" x14ac:dyDescent="0.3">
      <c r="C21" s="46"/>
      <c r="H21" s="47"/>
    </row>
    <row r="22" spans="3:8" x14ac:dyDescent="0.3">
      <c r="C22" s="46"/>
      <c r="D22" s="45" t="s">
        <v>101</v>
      </c>
      <c r="E22" s="14" t="s">
        <v>263</v>
      </c>
      <c r="G22" s="184" t="s">
        <v>102</v>
      </c>
      <c r="H22" s="47"/>
    </row>
    <row r="23" spans="3:8" x14ac:dyDescent="0.3">
      <c r="C23" s="46"/>
      <c r="G23" s="185"/>
      <c r="H23" s="47"/>
    </row>
    <row r="24" spans="3:8" x14ac:dyDescent="0.3">
      <c r="C24" s="46"/>
      <c r="G24" s="185"/>
      <c r="H24" s="47"/>
    </row>
    <row r="25" spans="3:8" x14ac:dyDescent="0.3">
      <c r="C25" s="48"/>
      <c r="D25" s="49"/>
      <c r="E25" s="49"/>
      <c r="F25" s="49"/>
      <c r="G25" s="49"/>
      <c r="H25" s="50"/>
    </row>
  </sheetData>
  <mergeCells count="4">
    <mergeCell ref="D6:G6"/>
    <mergeCell ref="D12:G12"/>
    <mergeCell ref="G16:G18"/>
    <mergeCell ref="G22:G24"/>
  </mergeCells>
  <conditionalFormatting sqref="E18">
    <cfRule type="expression" dxfId="34" priority="1">
      <formula>shift_late_income_status="inactive"</formula>
    </cfRule>
  </conditionalFormatting>
  <dataValidations count="2">
    <dataValidation type="list" allowBlank="1" showInputMessage="1" showErrorMessage="1" sqref="E16" xr:uid="{454B9ED4-70D6-46ED-B8FE-20EF8003A319}">
      <formula1>"Active, Inactive"</formula1>
    </dataValidation>
    <dataValidation type="list" allowBlank="1" showInputMessage="1" showErrorMessage="1" sqref="E22" xr:uid="{2B6D42B4-8CA8-49FD-985F-E18DBEFA1FAC}">
      <formula1>"% allocated to Savings, % not allocated to Expenses"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F787-E0E9-40E9-85D2-9DA167A9B783}">
  <sheetPr>
    <tabColor theme="0"/>
  </sheetPr>
  <dimension ref="C1:CI46"/>
  <sheetViews>
    <sheetView showGridLines="0" topLeftCell="A19" zoomScale="90" zoomScaleNormal="90" workbookViewId="0">
      <pane xSplit="4" topLeftCell="Q1" activePane="topRight" state="frozen"/>
      <selection activeCell="B31" sqref="B31"/>
      <selection pane="topRight" activeCell="AC27" sqref="AC27"/>
    </sheetView>
  </sheetViews>
  <sheetFormatPr defaultColWidth="9.109375" defaultRowHeight="14.4" outlineLevelCol="1" x14ac:dyDescent="0.3"/>
  <cols>
    <col min="1" max="2" width="2.88671875" style="1" customWidth="1"/>
    <col min="3" max="3" width="39.33203125" style="1" customWidth="1"/>
    <col min="4" max="4" width="1.88671875" style="1" customWidth="1"/>
    <col min="5" max="13" width="9.109375" style="1" hidden="1" customWidth="1" outlineLevel="1"/>
    <col min="14" max="16" width="9.6640625" style="1" hidden="1" customWidth="1" outlineLevel="1"/>
    <col min="17" max="17" width="9.109375" style="1" collapsed="1"/>
    <col min="18" max="18" width="2.6640625" style="1" customWidth="1"/>
    <col min="19" max="27" width="9.109375" style="1" customWidth="1" outlineLevel="1"/>
    <col min="28" max="30" width="9.6640625" style="1" customWidth="1" outlineLevel="1"/>
    <col min="31" max="31" width="9.109375" style="1"/>
    <col min="32" max="32" width="2.44140625" style="1" customWidth="1"/>
    <col min="33" max="41" width="9.109375" style="1" hidden="1" customWidth="1" outlineLevel="1"/>
    <col min="42" max="44" width="9.6640625" style="1" hidden="1" customWidth="1" outlineLevel="1"/>
    <col min="45" max="45" width="9.109375" style="1" collapsed="1"/>
    <col min="46" max="46" width="2.44140625" style="1" customWidth="1"/>
    <col min="47" max="55" width="9.109375" style="1" hidden="1" customWidth="1" outlineLevel="1"/>
    <col min="56" max="58" width="9.6640625" style="1" hidden="1" customWidth="1" outlineLevel="1"/>
    <col min="59" max="59" width="9.109375" style="1" collapsed="1"/>
    <col min="60" max="60" width="2.44140625" style="1" customWidth="1"/>
    <col min="61" max="69" width="9.109375" style="1" hidden="1" customWidth="1" outlineLevel="1"/>
    <col min="70" max="72" width="9.6640625" style="1" hidden="1" customWidth="1" outlineLevel="1"/>
    <col min="73" max="73" width="9.109375" style="1" collapsed="1"/>
    <col min="74" max="74" width="2.44140625" style="1" customWidth="1"/>
    <col min="75" max="83" width="9.109375" style="1" hidden="1" customWidth="1" outlineLevel="1"/>
    <col min="84" max="86" width="9.6640625" style="1" hidden="1" customWidth="1" outlineLevel="1"/>
    <col min="87" max="87" width="9.109375" style="1" collapsed="1"/>
    <col min="88" max="88" width="2.44140625" style="1" customWidth="1"/>
    <col min="89" max="16384" width="9.109375" style="1"/>
  </cols>
  <sheetData>
    <row r="1" spans="3:87" s="2" customFormat="1" ht="12.75" customHeight="1" x14ac:dyDescent="0.3">
      <c r="C1" s="3"/>
    </row>
    <row r="2" spans="3:87" s="2" customFormat="1" ht="33.6" x14ac:dyDescent="0.3">
      <c r="C2" s="5" t="s">
        <v>8</v>
      </c>
    </row>
    <row r="3" spans="3:87" s="4" customFormat="1" ht="12.75" customHeight="1" x14ac:dyDescent="0.3"/>
    <row r="4" spans="3:87" ht="23.25" customHeight="1" x14ac:dyDescent="0.3"/>
    <row r="5" spans="3:87" ht="21" customHeight="1" x14ac:dyDescent="0.3">
      <c r="C5" s="20" t="s">
        <v>4</v>
      </c>
      <c r="E5" s="186">
        <f>starting_year</f>
        <v>2025</v>
      </c>
      <c r="F5" s="186"/>
      <c r="G5" s="186"/>
      <c r="H5" s="186"/>
      <c r="I5" s="186"/>
      <c r="J5" s="186"/>
      <c r="K5" s="186"/>
      <c r="L5" s="186"/>
      <c r="M5" s="186"/>
      <c r="N5" s="186"/>
      <c r="O5" s="186"/>
      <c r="P5" s="186"/>
      <c r="Q5" s="186"/>
      <c r="S5" s="186">
        <f>E5+1</f>
        <v>2026</v>
      </c>
      <c r="T5" s="186"/>
      <c r="U5" s="186"/>
      <c r="V5" s="186"/>
      <c r="W5" s="186"/>
      <c r="X5" s="186"/>
      <c r="Y5" s="186"/>
      <c r="Z5" s="186"/>
      <c r="AA5" s="186"/>
      <c r="AB5" s="186"/>
      <c r="AC5" s="186"/>
      <c r="AD5" s="186"/>
      <c r="AE5" s="186"/>
      <c r="AG5" s="186">
        <f t="shared" ref="AG5" si="0">S5+1</f>
        <v>2027</v>
      </c>
      <c r="AH5" s="186"/>
      <c r="AI5" s="186"/>
      <c r="AJ5" s="186"/>
      <c r="AK5" s="186"/>
      <c r="AL5" s="186"/>
      <c r="AM5" s="186"/>
      <c r="AN5" s="186"/>
      <c r="AO5" s="186"/>
      <c r="AP5" s="186"/>
      <c r="AQ5" s="186"/>
      <c r="AR5" s="186"/>
      <c r="AS5" s="186"/>
      <c r="AU5" s="186">
        <f t="shared" ref="AU5" si="1">AG5+1</f>
        <v>2028</v>
      </c>
      <c r="AV5" s="186"/>
      <c r="AW5" s="186"/>
      <c r="AX5" s="186"/>
      <c r="AY5" s="186"/>
      <c r="AZ5" s="186"/>
      <c r="BA5" s="186"/>
      <c r="BB5" s="186"/>
      <c r="BC5" s="186"/>
      <c r="BD5" s="186"/>
      <c r="BE5" s="186"/>
      <c r="BF5" s="186"/>
      <c r="BG5" s="186"/>
      <c r="BI5" s="186">
        <f t="shared" ref="BI5" si="2">AU5+1</f>
        <v>2029</v>
      </c>
      <c r="BJ5" s="186"/>
      <c r="BK5" s="186"/>
      <c r="BL5" s="186"/>
      <c r="BM5" s="186"/>
      <c r="BN5" s="186"/>
      <c r="BO5" s="186"/>
      <c r="BP5" s="186"/>
      <c r="BQ5" s="186"/>
      <c r="BR5" s="186"/>
      <c r="BS5" s="186"/>
      <c r="BT5" s="186"/>
      <c r="BU5" s="186"/>
      <c r="BW5" s="186">
        <f t="shared" ref="BW5" si="3">BI5+1</f>
        <v>2030</v>
      </c>
      <c r="BX5" s="186"/>
      <c r="BY5" s="186"/>
      <c r="BZ5" s="186"/>
      <c r="CA5" s="186"/>
      <c r="CB5" s="186"/>
      <c r="CC5" s="186"/>
      <c r="CD5" s="186"/>
      <c r="CE5" s="186"/>
      <c r="CF5" s="186"/>
      <c r="CG5" s="186"/>
      <c r="CH5" s="186"/>
      <c r="CI5" s="186"/>
    </row>
    <row r="6" spans="3:87" x14ac:dyDescent="0.3">
      <c r="C6" s="18"/>
      <c r="D6" s="15"/>
      <c r="E6" s="36" t="str">
        <f ca="1">IF(E7=0,"Jan✓","Jan")</f>
        <v>Jan✓</v>
      </c>
      <c r="F6" s="36" t="str">
        <f ca="1">IF(F7=0,"Feb✓","Feb")</f>
        <v>Feb✓</v>
      </c>
      <c r="G6" s="36" t="str">
        <f ca="1">IF(G7=0,"Mar✓","Mar")</f>
        <v>Mar✓</v>
      </c>
      <c r="H6" s="36" t="str">
        <f ca="1">IF(H7=0,"Apr✓","Apr")</f>
        <v>Apr✓</v>
      </c>
      <c r="I6" s="36" t="str">
        <f ca="1">IF(I7=0,"May✓","May")</f>
        <v>May✓</v>
      </c>
      <c r="J6" s="36" t="str">
        <f ca="1">IF(J7=0,"Jun✓","Jun")</f>
        <v>Jun</v>
      </c>
      <c r="K6" s="36" t="str">
        <f ca="1">IF(K7=0,"Jul✓","Jul")</f>
        <v>Jul</v>
      </c>
      <c r="L6" s="36" t="str">
        <f ca="1">IF(L7=0,"Aug✓","Aug")</f>
        <v>Aug</v>
      </c>
      <c r="M6" s="36" t="str">
        <f ca="1">IF(M7=0,"Sep✓","Sep")</f>
        <v>Sep</v>
      </c>
      <c r="N6" s="36" t="str">
        <f ca="1">IF(N7=0,"Oct✓","Oct")</f>
        <v>Oct</v>
      </c>
      <c r="O6" s="36" t="str">
        <f ca="1">IF(O7=0,"Nov✓","Nov")</f>
        <v>Nov</v>
      </c>
      <c r="P6" s="36" t="str">
        <f ca="1">IF(P7=0,"Dec✓","Dec")</f>
        <v>Dec</v>
      </c>
      <c r="Q6" s="36" t="str">
        <f ca="1">IF(Q7=0,"Total✓","Total")</f>
        <v>Total</v>
      </c>
      <c r="S6" s="36" t="str">
        <f ca="1">IF(S7=0,"Jan✓","Jan")</f>
        <v>Jan</v>
      </c>
      <c r="T6" s="36" t="str">
        <f ca="1">IF(T7=0,"Feb✓","Feb")</f>
        <v>Feb</v>
      </c>
      <c r="U6" s="36" t="str">
        <f ca="1">IF(U7=0,"Mar✓","Mar")</f>
        <v>Mar</v>
      </c>
      <c r="V6" s="36" t="str">
        <f ca="1">IF(V7=0,"Apr✓","Apr")</f>
        <v>Apr</v>
      </c>
      <c r="W6" s="36" t="str">
        <f ca="1">IF(W7=0,"May✓","May")</f>
        <v>May</v>
      </c>
      <c r="X6" s="36" t="str">
        <f ca="1">IF(X7=0,"Jun✓","Jun")</f>
        <v>Jun</v>
      </c>
      <c r="Y6" s="36" t="str">
        <f ca="1">IF(Y7=0,"Jul✓","Jul")</f>
        <v>Jul</v>
      </c>
      <c r="Z6" s="36" t="str">
        <f ca="1">IF(Z7=0,"Aug✓","Aug")</f>
        <v>Aug</v>
      </c>
      <c r="AA6" s="36" t="str">
        <f ca="1">IF(AA7=0,"Sep✓","Sep")</f>
        <v>Sep</v>
      </c>
      <c r="AB6" s="36" t="str">
        <f ca="1">IF(AB7=0,"Oct✓","Oct")</f>
        <v>Oct</v>
      </c>
      <c r="AC6" s="36" t="str">
        <f ca="1">IF(AC7=0,"Nov✓","Nov")</f>
        <v>Nov</v>
      </c>
      <c r="AD6" s="36" t="str">
        <f ca="1">IF(AD7=0,"Dec✓","Dec")</f>
        <v>Dec</v>
      </c>
      <c r="AE6" s="36" t="str">
        <f ca="1">IF(AE7=0,"Total✓","Total")</f>
        <v>Total</v>
      </c>
      <c r="AG6" s="36" t="str">
        <f t="shared" ref="AG6" ca="1" si="4">IF(AG7=0,"Jan✓","Jan")</f>
        <v>Jan✓</v>
      </c>
      <c r="AH6" s="36" t="str">
        <f t="shared" ref="AH6" ca="1" si="5">IF(AH7=0,"Feb✓","Feb")</f>
        <v>Feb✓</v>
      </c>
      <c r="AI6" s="36" t="str">
        <f t="shared" ref="AI6" ca="1" si="6">IF(AI7=0,"Mar✓","Mar")</f>
        <v>Mar✓</v>
      </c>
      <c r="AJ6" s="36" t="str">
        <f t="shared" ref="AJ6" ca="1" si="7">IF(AJ7=0,"Apr✓","Apr")</f>
        <v>Apr✓</v>
      </c>
      <c r="AK6" s="36" t="str">
        <f t="shared" ref="AK6" ca="1" si="8">IF(AK7=0,"May✓","May")</f>
        <v>May✓</v>
      </c>
      <c r="AL6" s="36" t="str">
        <f t="shared" ref="AL6" ca="1" si="9">IF(AL7=0,"Jun✓","Jun")</f>
        <v>Jun✓</v>
      </c>
      <c r="AM6" s="36" t="str">
        <f t="shared" ref="AM6" ca="1" si="10">IF(AM7=0,"Jul✓","Jul")</f>
        <v>Jul✓</v>
      </c>
      <c r="AN6" s="36" t="str">
        <f t="shared" ref="AN6" ca="1" si="11">IF(AN7=0,"Aug✓","Aug")</f>
        <v>Aug✓</v>
      </c>
      <c r="AO6" s="36" t="str">
        <f t="shared" ref="AO6" ca="1" si="12">IF(AO7=0,"Sep✓","Sep")</f>
        <v>Sep✓</v>
      </c>
      <c r="AP6" s="36" t="str">
        <f t="shared" ref="AP6" ca="1" si="13">IF(AP7=0,"Oct✓","Oct")</f>
        <v>Oct✓</v>
      </c>
      <c r="AQ6" s="36" t="str">
        <f t="shared" ref="AQ6" ca="1" si="14">IF(AQ7=0,"Nov✓","Nov")</f>
        <v>Nov✓</v>
      </c>
      <c r="AR6" s="36" t="str">
        <f t="shared" ref="AR6" ca="1" si="15">IF(AR7=0,"Dec✓","Dec")</f>
        <v>Dec✓</v>
      </c>
      <c r="AS6" s="36" t="str">
        <f t="shared" ref="AS6" ca="1" si="16">IF(AS7=0,"Total✓","Total")</f>
        <v>Total✓</v>
      </c>
      <c r="AU6" s="36" t="str">
        <f t="shared" ref="AU6" ca="1" si="17">IF(AU7=0,"Jan✓","Jan")</f>
        <v>Jan✓</v>
      </c>
      <c r="AV6" s="36" t="str">
        <f t="shared" ref="AV6" ca="1" si="18">IF(AV7=0,"Feb✓","Feb")</f>
        <v>Feb✓</v>
      </c>
      <c r="AW6" s="36" t="str">
        <f t="shared" ref="AW6" ca="1" si="19">IF(AW7=0,"Mar✓","Mar")</f>
        <v>Mar✓</v>
      </c>
      <c r="AX6" s="36" t="str">
        <f t="shared" ref="AX6" ca="1" si="20">IF(AX7=0,"Apr✓","Apr")</f>
        <v>Apr✓</v>
      </c>
      <c r="AY6" s="36" t="str">
        <f t="shared" ref="AY6" ca="1" si="21">IF(AY7=0,"May✓","May")</f>
        <v>May✓</v>
      </c>
      <c r="AZ6" s="36" t="str">
        <f t="shared" ref="AZ6" ca="1" si="22">IF(AZ7=0,"Jun✓","Jun")</f>
        <v>Jun✓</v>
      </c>
      <c r="BA6" s="36" t="str">
        <f t="shared" ref="BA6" ca="1" si="23">IF(BA7=0,"Jul✓","Jul")</f>
        <v>Jul✓</v>
      </c>
      <c r="BB6" s="36" t="str">
        <f t="shared" ref="BB6" ca="1" si="24">IF(BB7=0,"Aug✓","Aug")</f>
        <v>Aug✓</v>
      </c>
      <c r="BC6" s="36" t="str">
        <f t="shared" ref="BC6" ca="1" si="25">IF(BC7=0,"Sep✓","Sep")</f>
        <v>Sep✓</v>
      </c>
      <c r="BD6" s="36" t="str">
        <f t="shared" ref="BD6" ca="1" si="26">IF(BD7=0,"Oct✓","Oct")</f>
        <v>Oct✓</v>
      </c>
      <c r="BE6" s="36" t="str">
        <f t="shared" ref="BE6" ca="1" si="27">IF(BE7=0,"Nov✓","Nov")</f>
        <v>Nov✓</v>
      </c>
      <c r="BF6" s="36" t="str">
        <f t="shared" ref="BF6" ca="1" si="28">IF(BF7=0,"Dec✓","Dec")</f>
        <v>Dec✓</v>
      </c>
      <c r="BG6" s="36" t="str">
        <f t="shared" ref="BG6" ca="1" si="29">IF(BG7=0,"Total✓","Total")</f>
        <v>Total✓</v>
      </c>
      <c r="BI6" s="36" t="str">
        <f t="shared" ref="BI6" ca="1" si="30">IF(BI7=0,"Jan✓","Jan")</f>
        <v>Jan✓</v>
      </c>
      <c r="BJ6" s="36" t="str">
        <f t="shared" ref="BJ6" ca="1" si="31">IF(BJ7=0,"Feb✓","Feb")</f>
        <v>Feb✓</v>
      </c>
      <c r="BK6" s="36" t="str">
        <f t="shared" ref="BK6" ca="1" si="32">IF(BK7=0,"Mar✓","Mar")</f>
        <v>Mar✓</v>
      </c>
      <c r="BL6" s="36" t="str">
        <f t="shared" ref="BL6" ca="1" si="33">IF(BL7=0,"Apr✓","Apr")</f>
        <v>Apr✓</v>
      </c>
      <c r="BM6" s="36" t="str">
        <f t="shared" ref="BM6" ca="1" si="34">IF(BM7=0,"May✓","May")</f>
        <v>May✓</v>
      </c>
      <c r="BN6" s="36" t="str">
        <f t="shared" ref="BN6" ca="1" si="35">IF(BN7=0,"Jun✓","Jun")</f>
        <v>Jun✓</v>
      </c>
      <c r="BO6" s="36" t="str">
        <f t="shared" ref="BO6" ca="1" si="36">IF(BO7=0,"Jul✓","Jul")</f>
        <v>Jul✓</v>
      </c>
      <c r="BP6" s="36" t="str">
        <f t="shared" ref="BP6" ca="1" si="37">IF(BP7=0,"Aug✓","Aug")</f>
        <v>Aug✓</v>
      </c>
      <c r="BQ6" s="36" t="str">
        <f t="shared" ref="BQ6" ca="1" si="38">IF(BQ7=0,"Sep✓","Sep")</f>
        <v>Sep✓</v>
      </c>
      <c r="BR6" s="36" t="str">
        <f t="shared" ref="BR6" ca="1" si="39">IF(BR7=0,"Oct✓","Oct")</f>
        <v>Oct✓</v>
      </c>
      <c r="BS6" s="36" t="str">
        <f t="shared" ref="BS6" ca="1" si="40">IF(BS7=0,"Nov✓","Nov")</f>
        <v>Nov✓</v>
      </c>
      <c r="BT6" s="36" t="str">
        <f t="shared" ref="BT6" ca="1" si="41">IF(BT7=0,"Dec✓","Dec")</f>
        <v>Dec✓</v>
      </c>
      <c r="BU6" s="36" t="str">
        <f t="shared" ref="BU6" ca="1" si="42">IF(BU7=0,"Total✓","Total")</f>
        <v>Total✓</v>
      </c>
      <c r="BW6" s="36" t="str">
        <f t="shared" ref="BW6" ca="1" si="43">IF(BW7=0,"Jan✓","Jan")</f>
        <v>Jan✓</v>
      </c>
      <c r="BX6" s="36" t="str">
        <f t="shared" ref="BX6" ca="1" si="44">IF(BX7=0,"Feb✓","Feb")</f>
        <v>Feb✓</v>
      </c>
      <c r="BY6" s="36" t="str">
        <f t="shared" ref="BY6" ca="1" si="45">IF(BY7=0,"Mar✓","Mar")</f>
        <v>Mar✓</v>
      </c>
      <c r="BZ6" s="36" t="str">
        <f t="shared" ref="BZ6" ca="1" si="46">IF(BZ7=0,"Apr✓","Apr")</f>
        <v>Apr✓</v>
      </c>
      <c r="CA6" s="36" t="str">
        <f t="shared" ref="CA6" ca="1" si="47">IF(CA7=0,"May✓","May")</f>
        <v>May✓</v>
      </c>
      <c r="CB6" s="36" t="str">
        <f t="shared" ref="CB6" ca="1" si="48">IF(CB7=0,"Jun✓","Jun")</f>
        <v>Jun✓</v>
      </c>
      <c r="CC6" s="36" t="str">
        <f t="shared" ref="CC6" ca="1" si="49">IF(CC7=0,"Jul✓","Jul")</f>
        <v>Jul✓</v>
      </c>
      <c r="CD6" s="36" t="str">
        <f t="shared" ref="CD6" ca="1" si="50">IF(CD7=0,"Aug✓","Aug")</f>
        <v>Aug✓</v>
      </c>
      <c r="CE6" s="36" t="str">
        <f t="shared" ref="CE6" ca="1" si="51">IF(CE7=0,"Sep✓","Sep")</f>
        <v>Sep✓</v>
      </c>
      <c r="CF6" s="36" t="str">
        <f t="shared" ref="CF6" ca="1" si="52">IF(CF7=0,"Oct✓","Oct")</f>
        <v>Oct✓</v>
      </c>
      <c r="CG6" s="36" t="str">
        <f t="shared" ref="CG6" ca="1" si="53">IF(CG7=0,"Nov✓","Nov")</f>
        <v>Nov✓</v>
      </c>
      <c r="CH6" s="36" t="str">
        <f t="shared" ref="CH6" ca="1" si="54">IF(CH7=0,"Dec✓","Dec")</f>
        <v>Dec✓</v>
      </c>
      <c r="CI6" s="36" t="str">
        <f t="shared" ref="CI6" ca="1" si="55">IF(CI7=0,"Total✓","Total")</f>
        <v>Total✓</v>
      </c>
    </row>
    <row r="7" spans="3:87" x14ac:dyDescent="0.3">
      <c r="C7" s="33" t="s">
        <v>16</v>
      </c>
      <c r="D7" s="15"/>
      <c r="E7" s="34">
        <f ca="1">E20-(E33+E46)</f>
        <v>0</v>
      </c>
      <c r="F7" s="34">
        <f t="shared" ref="F7:Q7" ca="1" si="56">F20-(F33+F46)</f>
        <v>0</v>
      </c>
      <c r="G7" s="34">
        <f t="shared" ca="1" si="56"/>
        <v>0</v>
      </c>
      <c r="H7" s="34">
        <f t="shared" ca="1" si="56"/>
        <v>0</v>
      </c>
      <c r="I7" s="34">
        <f t="shared" ca="1" si="56"/>
        <v>0</v>
      </c>
      <c r="J7" s="34">
        <f t="shared" ca="1" si="56"/>
        <v>-50</v>
      </c>
      <c r="K7" s="34">
        <f t="shared" ca="1" si="56"/>
        <v>665</v>
      </c>
      <c r="L7" s="34">
        <f t="shared" ca="1" si="56"/>
        <v>168</v>
      </c>
      <c r="M7" s="34">
        <f t="shared" ca="1" si="56"/>
        <v>110</v>
      </c>
      <c r="N7" s="34">
        <f t="shared" ca="1" si="56"/>
        <v>420</v>
      </c>
      <c r="O7" s="34">
        <f t="shared" ca="1" si="56"/>
        <v>-34</v>
      </c>
      <c r="P7" s="34">
        <f t="shared" ca="1" si="56"/>
        <v>297</v>
      </c>
      <c r="Q7" s="35">
        <f t="shared" ca="1" si="56"/>
        <v>1576</v>
      </c>
      <c r="S7" s="34">
        <f ca="1">S20-(S33+S46)</f>
        <v>-150</v>
      </c>
      <c r="T7" s="34">
        <f t="shared" ref="T7:AE7" ca="1" si="57">T20-(T33+T46)</f>
        <v>-3649.5</v>
      </c>
      <c r="U7" s="34">
        <f t="shared" ca="1" si="57"/>
        <v>-149.5</v>
      </c>
      <c r="V7" s="34">
        <f t="shared" ca="1" si="57"/>
        <v>-149.5</v>
      </c>
      <c r="W7" s="34">
        <f t="shared" ca="1" si="57"/>
        <v>-149.5</v>
      </c>
      <c r="X7" s="34">
        <f t="shared" ca="1" si="57"/>
        <v>-149.5</v>
      </c>
      <c r="Y7" s="34">
        <f t="shared" ca="1" si="57"/>
        <v>-149.5</v>
      </c>
      <c r="Z7" s="34">
        <f t="shared" ca="1" si="57"/>
        <v>-149.5</v>
      </c>
      <c r="AA7" s="34">
        <f t="shared" ca="1" si="57"/>
        <v>-149.5</v>
      </c>
      <c r="AB7" s="34">
        <f t="shared" ca="1" si="57"/>
        <v>-150</v>
      </c>
      <c r="AC7" s="34">
        <f t="shared" ca="1" si="57"/>
        <v>-150</v>
      </c>
      <c r="AD7" s="34">
        <f t="shared" ca="1" si="57"/>
        <v>-150</v>
      </c>
      <c r="AE7" s="35">
        <f t="shared" ca="1" si="57"/>
        <v>-5296</v>
      </c>
      <c r="AG7" s="34">
        <f t="shared" ref="AG7:AS7" ca="1" si="58">AG20-(AG33+AG46)</f>
        <v>0</v>
      </c>
      <c r="AH7" s="34">
        <f t="shared" ca="1" si="58"/>
        <v>0</v>
      </c>
      <c r="AI7" s="34">
        <f t="shared" ca="1" si="58"/>
        <v>0</v>
      </c>
      <c r="AJ7" s="34">
        <f t="shared" ca="1" si="58"/>
        <v>0</v>
      </c>
      <c r="AK7" s="34">
        <f t="shared" ca="1" si="58"/>
        <v>0</v>
      </c>
      <c r="AL7" s="34">
        <f t="shared" ca="1" si="58"/>
        <v>0</v>
      </c>
      <c r="AM7" s="34">
        <f t="shared" ca="1" si="58"/>
        <v>0</v>
      </c>
      <c r="AN7" s="34">
        <f t="shared" ca="1" si="58"/>
        <v>0</v>
      </c>
      <c r="AO7" s="34">
        <f t="shared" ca="1" si="58"/>
        <v>0</v>
      </c>
      <c r="AP7" s="34">
        <f t="shared" ca="1" si="58"/>
        <v>0</v>
      </c>
      <c r="AQ7" s="34">
        <f t="shared" ca="1" si="58"/>
        <v>0</v>
      </c>
      <c r="AR7" s="34">
        <f t="shared" ca="1" si="58"/>
        <v>0</v>
      </c>
      <c r="AS7" s="35">
        <f t="shared" ca="1" si="58"/>
        <v>0</v>
      </c>
      <c r="AU7" s="34">
        <f t="shared" ref="AU7:BG7" ca="1" si="59">AU20-(AU33+AU46)</f>
        <v>0</v>
      </c>
      <c r="AV7" s="34">
        <f t="shared" ca="1" si="59"/>
        <v>0</v>
      </c>
      <c r="AW7" s="34">
        <f t="shared" ca="1" si="59"/>
        <v>0</v>
      </c>
      <c r="AX7" s="34">
        <f t="shared" ca="1" si="59"/>
        <v>0</v>
      </c>
      <c r="AY7" s="34">
        <f t="shared" ca="1" si="59"/>
        <v>0</v>
      </c>
      <c r="AZ7" s="34">
        <f t="shared" ca="1" si="59"/>
        <v>0</v>
      </c>
      <c r="BA7" s="34">
        <f t="shared" ca="1" si="59"/>
        <v>0</v>
      </c>
      <c r="BB7" s="34">
        <f t="shared" ca="1" si="59"/>
        <v>0</v>
      </c>
      <c r="BC7" s="34">
        <f t="shared" ca="1" si="59"/>
        <v>0</v>
      </c>
      <c r="BD7" s="34">
        <f t="shared" ca="1" si="59"/>
        <v>0</v>
      </c>
      <c r="BE7" s="34">
        <f t="shared" ca="1" si="59"/>
        <v>0</v>
      </c>
      <c r="BF7" s="34">
        <f t="shared" ca="1" si="59"/>
        <v>0</v>
      </c>
      <c r="BG7" s="35">
        <f t="shared" ca="1" si="59"/>
        <v>0</v>
      </c>
      <c r="BI7" s="34">
        <f t="shared" ref="BI7:BU7" ca="1" si="60">BI20-(BI33+BI46)</f>
        <v>0</v>
      </c>
      <c r="BJ7" s="34">
        <f t="shared" ca="1" si="60"/>
        <v>0</v>
      </c>
      <c r="BK7" s="34">
        <f t="shared" ca="1" si="60"/>
        <v>0</v>
      </c>
      <c r="BL7" s="34">
        <f t="shared" ca="1" si="60"/>
        <v>0</v>
      </c>
      <c r="BM7" s="34">
        <f t="shared" ca="1" si="60"/>
        <v>0</v>
      </c>
      <c r="BN7" s="34">
        <f t="shared" ca="1" si="60"/>
        <v>0</v>
      </c>
      <c r="BO7" s="34">
        <f t="shared" ca="1" si="60"/>
        <v>0</v>
      </c>
      <c r="BP7" s="34">
        <f t="shared" ca="1" si="60"/>
        <v>0</v>
      </c>
      <c r="BQ7" s="34">
        <f t="shared" ca="1" si="60"/>
        <v>0</v>
      </c>
      <c r="BR7" s="34">
        <f t="shared" ca="1" si="60"/>
        <v>0</v>
      </c>
      <c r="BS7" s="34">
        <f t="shared" ca="1" si="60"/>
        <v>0</v>
      </c>
      <c r="BT7" s="34">
        <f t="shared" ca="1" si="60"/>
        <v>0</v>
      </c>
      <c r="BU7" s="35">
        <f t="shared" ca="1" si="60"/>
        <v>0</v>
      </c>
      <c r="BW7" s="34">
        <f t="shared" ref="BW7:CI7" ca="1" si="61">BW20-(BW33+BW46)</f>
        <v>0</v>
      </c>
      <c r="BX7" s="34">
        <f t="shared" ca="1" si="61"/>
        <v>0</v>
      </c>
      <c r="BY7" s="34">
        <f t="shared" ca="1" si="61"/>
        <v>0</v>
      </c>
      <c r="BZ7" s="34">
        <f t="shared" ca="1" si="61"/>
        <v>0</v>
      </c>
      <c r="CA7" s="34">
        <f t="shared" ca="1" si="61"/>
        <v>0</v>
      </c>
      <c r="CB7" s="34">
        <f t="shared" ca="1" si="61"/>
        <v>0</v>
      </c>
      <c r="CC7" s="34">
        <f t="shared" ca="1" si="61"/>
        <v>0</v>
      </c>
      <c r="CD7" s="34">
        <f t="shared" ca="1" si="61"/>
        <v>0</v>
      </c>
      <c r="CE7" s="34">
        <f t="shared" ca="1" si="61"/>
        <v>0</v>
      </c>
      <c r="CF7" s="34">
        <f t="shared" ca="1" si="61"/>
        <v>0</v>
      </c>
      <c r="CG7" s="34">
        <f t="shared" ca="1" si="61"/>
        <v>0</v>
      </c>
      <c r="CH7" s="34">
        <f t="shared" ca="1" si="61"/>
        <v>0</v>
      </c>
      <c r="CI7" s="35">
        <f t="shared" ca="1" si="61"/>
        <v>0</v>
      </c>
    </row>
    <row r="8" spans="3:87" x14ac:dyDescent="0.3">
      <c r="D8" s="16"/>
      <c r="E8" s="17"/>
      <c r="F8" s="15"/>
      <c r="G8" s="15"/>
      <c r="S8" s="17"/>
      <c r="T8" s="15"/>
      <c r="U8" s="15"/>
      <c r="AG8" s="17"/>
      <c r="AH8" s="15"/>
      <c r="AI8" s="15"/>
      <c r="AU8" s="17"/>
      <c r="AV8" s="15"/>
      <c r="AW8" s="15"/>
      <c r="BI8" s="17"/>
      <c r="BJ8" s="15"/>
      <c r="BK8" s="15"/>
      <c r="BW8" s="17"/>
      <c r="BX8" s="15"/>
      <c r="BY8" s="15"/>
    </row>
    <row r="9" spans="3:87" x14ac:dyDescent="0.3">
      <c r="C9" s="21" t="s">
        <v>5</v>
      </c>
      <c r="D9" s="15"/>
      <c r="E9" s="24">
        <f>DATE(E$5,1,1)</f>
        <v>45658</v>
      </c>
      <c r="F9" s="24">
        <f>DATE(E$5,2,1)</f>
        <v>45689</v>
      </c>
      <c r="G9" s="24">
        <f>DATE(E$5,3,1)</f>
        <v>45717</v>
      </c>
      <c r="H9" s="24">
        <f>DATE(E$5,4,1)</f>
        <v>45748</v>
      </c>
      <c r="I9" s="24">
        <f>DATE(E$5,5,1)</f>
        <v>45778</v>
      </c>
      <c r="J9" s="24">
        <f>DATE(E$5,6,1)</f>
        <v>45809</v>
      </c>
      <c r="K9" s="24">
        <f>DATE(E$5,7,1)</f>
        <v>45839</v>
      </c>
      <c r="L9" s="24">
        <f>DATE(E$5,8,1)</f>
        <v>45870</v>
      </c>
      <c r="M9" s="24">
        <f>DATE(E$5,9,1)</f>
        <v>45901</v>
      </c>
      <c r="N9" s="24">
        <f>DATE(E$5,10,1)</f>
        <v>45931</v>
      </c>
      <c r="O9" s="24">
        <f>DATE(E$5,11,1)</f>
        <v>45962</v>
      </c>
      <c r="P9" s="24">
        <f>DATE(E$5,12,1)</f>
        <v>45992</v>
      </c>
      <c r="Q9" s="23">
        <f>E$5</f>
        <v>2025</v>
      </c>
      <c r="S9" s="24">
        <f>DATE(S$5,1,1)</f>
        <v>46023</v>
      </c>
      <c r="T9" s="24">
        <f>DATE(S$5,2,1)</f>
        <v>46054</v>
      </c>
      <c r="U9" s="24">
        <f>DATE(S$5,3,1)</f>
        <v>46082</v>
      </c>
      <c r="V9" s="24">
        <f>DATE(S$5,4,1)</f>
        <v>46113</v>
      </c>
      <c r="W9" s="24">
        <f>DATE(S$5,5,1)</f>
        <v>46143</v>
      </c>
      <c r="X9" s="24">
        <f>DATE(S$5,6,1)</f>
        <v>46174</v>
      </c>
      <c r="Y9" s="24">
        <f>DATE(S$5,7,1)</f>
        <v>46204</v>
      </c>
      <c r="Z9" s="24">
        <f>DATE(S$5,8,1)</f>
        <v>46235</v>
      </c>
      <c r="AA9" s="24">
        <f>DATE(S$5,9,1)</f>
        <v>46266</v>
      </c>
      <c r="AB9" s="24">
        <f>DATE(S$5,10,1)</f>
        <v>46296</v>
      </c>
      <c r="AC9" s="24">
        <f>DATE(S$5,11,1)</f>
        <v>46327</v>
      </c>
      <c r="AD9" s="24">
        <f>DATE(S$5,12,1)</f>
        <v>46357</v>
      </c>
      <c r="AE9" s="23">
        <f>S$5</f>
        <v>2026</v>
      </c>
      <c r="AG9" s="24">
        <f t="shared" ref="AG9" si="62">DATE(AG$5,1,1)</f>
        <v>46388</v>
      </c>
      <c r="AH9" s="24">
        <f t="shared" ref="AH9" si="63">DATE(AG$5,2,1)</f>
        <v>46419</v>
      </c>
      <c r="AI9" s="24">
        <f t="shared" ref="AI9" si="64">DATE(AG$5,3,1)</f>
        <v>46447</v>
      </c>
      <c r="AJ9" s="24">
        <f t="shared" ref="AJ9" si="65">DATE(AG$5,4,1)</f>
        <v>46478</v>
      </c>
      <c r="AK9" s="24">
        <f t="shared" ref="AK9" si="66">DATE(AG$5,5,1)</f>
        <v>46508</v>
      </c>
      <c r="AL9" s="24">
        <f t="shared" ref="AL9" si="67">DATE(AG$5,6,1)</f>
        <v>46539</v>
      </c>
      <c r="AM9" s="24">
        <f t="shared" ref="AM9" si="68">DATE(AG$5,7,1)</f>
        <v>46569</v>
      </c>
      <c r="AN9" s="24">
        <f t="shared" ref="AN9" si="69">DATE(AG$5,8,1)</f>
        <v>46600</v>
      </c>
      <c r="AO9" s="24">
        <f t="shared" ref="AO9" si="70">DATE(AG$5,9,1)</f>
        <v>46631</v>
      </c>
      <c r="AP9" s="24">
        <f t="shared" ref="AP9" si="71">DATE(AG$5,10,1)</f>
        <v>46661</v>
      </c>
      <c r="AQ9" s="24">
        <f t="shared" ref="AQ9" si="72">DATE(AG$5,11,1)</f>
        <v>46692</v>
      </c>
      <c r="AR9" s="24">
        <f t="shared" ref="AR9" si="73">DATE(AG$5,12,1)</f>
        <v>46722</v>
      </c>
      <c r="AS9" s="23">
        <f t="shared" ref="AS9" si="74">AG$5</f>
        <v>2027</v>
      </c>
      <c r="AU9" s="24">
        <f t="shared" ref="AU9:BI9" si="75">DATE(AU$5,1,1)</f>
        <v>46753</v>
      </c>
      <c r="AV9" s="24">
        <f t="shared" ref="AV9" si="76">DATE(AU$5,2,1)</f>
        <v>46784</v>
      </c>
      <c r="AW9" s="24">
        <f t="shared" ref="AW9" si="77">DATE(AU$5,3,1)</f>
        <v>46813</v>
      </c>
      <c r="AX9" s="24">
        <f t="shared" ref="AX9" si="78">DATE(AU$5,4,1)</f>
        <v>46844</v>
      </c>
      <c r="AY9" s="24">
        <f t="shared" ref="AY9" si="79">DATE(AU$5,5,1)</f>
        <v>46874</v>
      </c>
      <c r="AZ9" s="24">
        <f t="shared" ref="AZ9" si="80">DATE(AU$5,6,1)</f>
        <v>46905</v>
      </c>
      <c r="BA9" s="24">
        <f t="shared" ref="BA9" si="81">DATE(AU$5,7,1)</f>
        <v>46935</v>
      </c>
      <c r="BB9" s="24">
        <f t="shared" ref="BB9" si="82">DATE(AU$5,8,1)</f>
        <v>46966</v>
      </c>
      <c r="BC9" s="24">
        <f t="shared" ref="BC9" si="83">DATE(AU$5,9,1)</f>
        <v>46997</v>
      </c>
      <c r="BD9" s="24">
        <f t="shared" ref="BD9" si="84">DATE(AU$5,10,1)</f>
        <v>47027</v>
      </c>
      <c r="BE9" s="24">
        <f t="shared" ref="BE9" si="85">DATE(AU$5,11,1)</f>
        <v>47058</v>
      </c>
      <c r="BF9" s="24">
        <f t="shared" ref="BF9" si="86">DATE(AU$5,12,1)</f>
        <v>47088</v>
      </c>
      <c r="BG9" s="23">
        <f t="shared" ref="BG9" si="87">AU$5</f>
        <v>2028</v>
      </c>
      <c r="BI9" s="24">
        <f t="shared" si="75"/>
        <v>47119</v>
      </c>
      <c r="BJ9" s="24">
        <f t="shared" ref="BJ9" si="88">DATE(BI$5,2,1)</f>
        <v>47150</v>
      </c>
      <c r="BK9" s="24">
        <f t="shared" ref="BK9" si="89">DATE(BI$5,3,1)</f>
        <v>47178</v>
      </c>
      <c r="BL9" s="24">
        <f t="shared" ref="BL9" si="90">DATE(BI$5,4,1)</f>
        <v>47209</v>
      </c>
      <c r="BM9" s="24">
        <f t="shared" ref="BM9" si="91">DATE(BI$5,5,1)</f>
        <v>47239</v>
      </c>
      <c r="BN9" s="24">
        <f t="shared" ref="BN9" si="92">DATE(BI$5,6,1)</f>
        <v>47270</v>
      </c>
      <c r="BO9" s="24">
        <f t="shared" ref="BO9" si="93">DATE(BI$5,7,1)</f>
        <v>47300</v>
      </c>
      <c r="BP9" s="24">
        <f t="shared" ref="BP9" si="94">DATE(BI$5,8,1)</f>
        <v>47331</v>
      </c>
      <c r="BQ9" s="24">
        <f t="shared" ref="BQ9" si="95">DATE(BI$5,9,1)</f>
        <v>47362</v>
      </c>
      <c r="BR9" s="24">
        <f t="shared" ref="BR9" si="96">DATE(BI$5,10,1)</f>
        <v>47392</v>
      </c>
      <c r="BS9" s="24">
        <f t="shared" ref="BS9" si="97">DATE(BI$5,11,1)</f>
        <v>47423</v>
      </c>
      <c r="BT9" s="24">
        <f t="shared" ref="BT9" si="98">DATE(BI$5,12,1)</f>
        <v>47453</v>
      </c>
      <c r="BU9" s="23">
        <f t="shared" ref="BU9" si="99">BI$5</f>
        <v>2029</v>
      </c>
      <c r="BW9" s="24">
        <f t="shared" ref="BW9" si="100">DATE(BW$5,1,1)</f>
        <v>47484</v>
      </c>
      <c r="BX9" s="24">
        <f t="shared" ref="BX9" si="101">DATE(BW$5,2,1)</f>
        <v>47515</v>
      </c>
      <c r="BY9" s="24">
        <f t="shared" ref="BY9" si="102">DATE(BW$5,3,1)</f>
        <v>47543</v>
      </c>
      <c r="BZ9" s="24">
        <f t="shared" ref="BZ9" si="103">DATE(BW$5,4,1)</f>
        <v>47574</v>
      </c>
      <c r="CA9" s="24">
        <f t="shared" ref="CA9" si="104">DATE(BW$5,5,1)</f>
        <v>47604</v>
      </c>
      <c r="CB9" s="24">
        <f t="shared" ref="CB9" si="105">DATE(BW$5,6,1)</f>
        <v>47635</v>
      </c>
      <c r="CC9" s="24">
        <f t="shared" ref="CC9" si="106">DATE(BW$5,7,1)</f>
        <v>47665</v>
      </c>
      <c r="CD9" s="24">
        <f t="shared" ref="CD9" si="107">DATE(BW$5,8,1)</f>
        <v>47696</v>
      </c>
      <c r="CE9" s="24">
        <f t="shared" ref="CE9" si="108">DATE(BW$5,9,1)</f>
        <v>47727</v>
      </c>
      <c r="CF9" s="24">
        <f t="shared" ref="CF9" si="109">DATE(BW$5,10,1)</f>
        <v>47757</v>
      </c>
      <c r="CG9" s="24">
        <f t="shared" ref="CG9" si="110">DATE(BW$5,11,1)</f>
        <v>47788</v>
      </c>
      <c r="CH9" s="24">
        <f t="shared" ref="CH9" si="111">DATE(BW$5,12,1)</f>
        <v>47818</v>
      </c>
      <c r="CI9" s="23">
        <f t="shared" ref="CI9" si="112">BW$5</f>
        <v>2030</v>
      </c>
    </row>
    <row r="10" spans="3:87" x14ac:dyDescent="0.3">
      <c r="C10" s="25" t="s">
        <v>103</v>
      </c>
      <c r="E10" s="26">
        <v>150</v>
      </c>
      <c r="F10" s="26">
        <v>340</v>
      </c>
      <c r="G10" s="26">
        <v>340</v>
      </c>
      <c r="H10" s="26">
        <v>340</v>
      </c>
      <c r="I10" s="26">
        <v>340</v>
      </c>
      <c r="J10" s="26">
        <v>600</v>
      </c>
      <c r="K10" s="26">
        <v>1900</v>
      </c>
      <c r="L10" s="26">
        <v>1850</v>
      </c>
      <c r="M10" s="26">
        <v>1530</v>
      </c>
      <c r="N10" s="26">
        <v>1850</v>
      </c>
      <c r="O10" s="26">
        <v>1200</v>
      </c>
      <c r="P10" s="26">
        <v>1000</v>
      </c>
      <c r="Q10" s="28">
        <f>SUM(E10:P10)</f>
        <v>11440</v>
      </c>
      <c r="R10" s="134"/>
      <c r="S10" s="26">
        <v>1500</v>
      </c>
      <c r="T10" s="26">
        <v>1500</v>
      </c>
      <c r="U10" s="26">
        <v>1500</v>
      </c>
      <c r="V10" s="26">
        <v>1500</v>
      </c>
      <c r="W10" s="26">
        <v>1500</v>
      </c>
      <c r="X10" s="26">
        <v>1500</v>
      </c>
      <c r="Y10" s="26">
        <v>1500</v>
      </c>
      <c r="Z10" s="26">
        <v>1500</v>
      </c>
      <c r="AA10" s="26">
        <v>1500</v>
      </c>
      <c r="AB10" s="26">
        <v>1500</v>
      </c>
      <c r="AC10" s="26">
        <v>1500</v>
      </c>
      <c r="AD10" s="26">
        <v>1500</v>
      </c>
      <c r="AE10" s="28">
        <f>SUM(S10:AD10)</f>
        <v>18000</v>
      </c>
      <c r="AG10" s="26"/>
      <c r="AH10" s="26"/>
      <c r="AI10" s="26"/>
      <c r="AJ10" s="26"/>
      <c r="AK10" s="26"/>
      <c r="AL10" s="26"/>
      <c r="AM10" s="26"/>
      <c r="AN10" s="26"/>
      <c r="AO10" s="26"/>
      <c r="AP10" s="26"/>
      <c r="AQ10" s="26"/>
      <c r="AR10" s="26"/>
      <c r="AS10" s="28">
        <f t="shared" ref="AS10:AS19" si="113">SUM(AG10:AR10)</f>
        <v>0</v>
      </c>
      <c r="AU10" s="26"/>
      <c r="AV10" s="26"/>
      <c r="AW10" s="26"/>
      <c r="AX10" s="26"/>
      <c r="AY10" s="26"/>
      <c r="AZ10" s="26"/>
      <c r="BA10" s="26"/>
      <c r="BB10" s="26"/>
      <c r="BC10" s="26"/>
      <c r="BD10" s="26"/>
      <c r="BE10" s="26"/>
      <c r="BF10" s="26"/>
      <c r="BG10" s="28">
        <f t="shared" ref="BG10:BG19" si="114">SUM(AU10:BF10)</f>
        <v>0</v>
      </c>
      <c r="BI10" s="26"/>
      <c r="BJ10" s="26"/>
      <c r="BK10" s="26"/>
      <c r="BL10" s="26"/>
      <c r="BM10" s="26"/>
      <c r="BN10" s="26"/>
      <c r="BO10" s="26"/>
      <c r="BP10" s="26"/>
      <c r="BQ10" s="26"/>
      <c r="BR10" s="26"/>
      <c r="BS10" s="26"/>
      <c r="BT10" s="26"/>
      <c r="BU10" s="28">
        <f t="shared" ref="BU10:BU19" si="115">SUM(BI10:BT10)</f>
        <v>0</v>
      </c>
      <c r="BW10" s="26"/>
      <c r="BX10" s="26"/>
      <c r="BY10" s="26"/>
      <c r="BZ10" s="26"/>
      <c r="CA10" s="26"/>
      <c r="CB10" s="26"/>
      <c r="CC10" s="26"/>
      <c r="CD10" s="26"/>
      <c r="CE10" s="26"/>
      <c r="CF10" s="26"/>
      <c r="CG10" s="26"/>
      <c r="CH10" s="26"/>
      <c r="CI10" s="28">
        <f t="shared" ref="CI10:CI19" si="116">SUM(BW10:CH10)</f>
        <v>0</v>
      </c>
    </row>
    <row r="11" spans="3:87" x14ac:dyDescent="0.3">
      <c r="C11" s="25" t="s">
        <v>104</v>
      </c>
      <c r="E11" s="26">
        <v>60</v>
      </c>
      <c r="F11" s="26">
        <v>13</v>
      </c>
      <c r="G11" s="26">
        <v>25</v>
      </c>
      <c r="H11" s="26">
        <v>15</v>
      </c>
      <c r="I11" s="26">
        <v>11</v>
      </c>
      <c r="J11" s="26">
        <v>42</v>
      </c>
      <c r="K11" s="26">
        <v>60</v>
      </c>
      <c r="L11" s="26">
        <v>13</v>
      </c>
      <c r="M11" s="26">
        <v>25</v>
      </c>
      <c r="N11" s="26">
        <v>15</v>
      </c>
      <c r="O11" s="26">
        <v>11</v>
      </c>
      <c r="P11" s="26">
        <v>42</v>
      </c>
      <c r="Q11" s="28">
        <f t="shared" ref="Q11:Q19" si="117">SUM(E11:P11)</f>
        <v>332</v>
      </c>
      <c r="S11" s="26">
        <v>12</v>
      </c>
      <c r="T11" s="26">
        <v>12</v>
      </c>
      <c r="U11" s="26">
        <v>12</v>
      </c>
      <c r="V11" s="26">
        <v>12</v>
      </c>
      <c r="W11" s="26">
        <v>12</v>
      </c>
      <c r="X11" s="26">
        <v>12</v>
      </c>
      <c r="Y11" s="26">
        <v>12</v>
      </c>
      <c r="Z11" s="26">
        <v>12</v>
      </c>
      <c r="AA11" s="26">
        <v>12</v>
      </c>
      <c r="AB11" s="26">
        <v>12</v>
      </c>
      <c r="AC11" s="26">
        <v>12</v>
      </c>
      <c r="AD11" s="26">
        <v>12</v>
      </c>
      <c r="AE11" s="28">
        <f t="shared" ref="AE11:AE19" si="118">SUM(S11:AD11)</f>
        <v>144</v>
      </c>
      <c r="AG11" s="26"/>
      <c r="AH11" s="26"/>
      <c r="AI11" s="26"/>
      <c r="AJ11" s="26"/>
      <c r="AK11" s="26"/>
      <c r="AL11" s="26"/>
      <c r="AM11" s="26"/>
      <c r="AN11" s="26"/>
      <c r="AO11" s="26"/>
      <c r="AP11" s="26"/>
      <c r="AQ11" s="26"/>
      <c r="AR11" s="26"/>
      <c r="AS11" s="28">
        <f t="shared" si="113"/>
        <v>0</v>
      </c>
      <c r="AU11" s="26"/>
      <c r="AV11" s="26"/>
      <c r="AW11" s="26"/>
      <c r="AX11" s="26"/>
      <c r="AY11" s="26"/>
      <c r="AZ11" s="26"/>
      <c r="BA11" s="26"/>
      <c r="BB11" s="26"/>
      <c r="BC11" s="26"/>
      <c r="BD11" s="26"/>
      <c r="BE11" s="26"/>
      <c r="BF11" s="26"/>
      <c r="BG11" s="28">
        <f t="shared" si="114"/>
        <v>0</v>
      </c>
      <c r="BI11" s="26"/>
      <c r="BJ11" s="26"/>
      <c r="BK11" s="26"/>
      <c r="BL11" s="26"/>
      <c r="BM11" s="26"/>
      <c r="BN11" s="26"/>
      <c r="BO11" s="26"/>
      <c r="BP11" s="26"/>
      <c r="BQ11" s="26"/>
      <c r="BR11" s="26"/>
      <c r="BS11" s="26"/>
      <c r="BT11" s="26"/>
      <c r="BU11" s="28">
        <f t="shared" si="115"/>
        <v>0</v>
      </c>
      <c r="BW11" s="26"/>
      <c r="BX11" s="26"/>
      <c r="BY11" s="26"/>
      <c r="BZ11" s="26"/>
      <c r="CA11" s="26"/>
      <c r="CB11" s="26"/>
      <c r="CC11" s="26"/>
      <c r="CD11" s="26"/>
      <c r="CE11" s="26"/>
      <c r="CF11" s="26"/>
      <c r="CG11" s="26"/>
      <c r="CH11" s="26"/>
      <c r="CI11" s="28">
        <f t="shared" si="116"/>
        <v>0</v>
      </c>
    </row>
    <row r="12" spans="3:87" x14ac:dyDescent="0.3">
      <c r="C12" s="25" t="s">
        <v>105</v>
      </c>
      <c r="E12" s="26">
        <v>0</v>
      </c>
      <c r="F12" s="26">
        <v>100</v>
      </c>
      <c r="G12" s="26">
        <v>200</v>
      </c>
      <c r="H12" s="26"/>
      <c r="I12" s="26"/>
      <c r="J12" s="26"/>
      <c r="K12" s="26"/>
      <c r="L12" s="26"/>
      <c r="M12" s="26"/>
      <c r="N12" s="26"/>
      <c r="O12" s="26"/>
      <c r="P12" s="26"/>
      <c r="Q12" s="28">
        <f t="shared" si="117"/>
        <v>300</v>
      </c>
      <c r="S12" s="26"/>
      <c r="T12" s="26"/>
      <c r="U12" s="26"/>
      <c r="V12" s="26"/>
      <c r="W12" s="26"/>
      <c r="X12" s="26"/>
      <c r="Y12" s="26"/>
      <c r="Z12" s="26"/>
      <c r="AA12" s="26"/>
      <c r="AB12" s="26"/>
      <c r="AC12" s="26"/>
      <c r="AD12" s="26"/>
      <c r="AE12" s="28">
        <f t="shared" si="118"/>
        <v>0</v>
      </c>
      <c r="AG12" s="26"/>
      <c r="AH12" s="26"/>
      <c r="AI12" s="26"/>
      <c r="AJ12" s="26"/>
      <c r="AK12" s="26"/>
      <c r="AL12" s="26"/>
      <c r="AM12" s="26"/>
      <c r="AN12" s="26"/>
      <c r="AO12" s="26"/>
      <c r="AP12" s="26"/>
      <c r="AQ12" s="26"/>
      <c r="AR12" s="26"/>
      <c r="AS12" s="28">
        <f t="shared" si="113"/>
        <v>0</v>
      </c>
      <c r="AU12" s="26"/>
      <c r="AV12" s="26"/>
      <c r="AW12" s="26"/>
      <c r="AX12" s="26"/>
      <c r="AY12" s="26"/>
      <c r="AZ12" s="26"/>
      <c r="BA12" s="26"/>
      <c r="BB12" s="26"/>
      <c r="BC12" s="26"/>
      <c r="BD12" s="26"/>
      <c r="BE12" s="26"/>
      <c r="BF12" s="26"/>
      <c r="BG12" s="28">
        <f t="shared" si="114"/>
        <v>0</v>
      </c>
      <c r="BI12" s="26"/>
      <c r="BJ12" s="26"/>
      <c r="BK12" s="26"/>
      <c r="BL12" s="26"/>
      <c r="BM12" s="26"/>
      <c r="BN12" s="26"/>
      <c r="BO12" s="26"/>
      <c r="BP12" s="26"/>
      <c r="BQ12" s="26"/>
      <c r="BR12" s="26"/>
      <c r="BS12" s="26"/>
      <c r="BT12" s="26"/>
      <c r="BU12" s="28">
        <f t="shared" si="115"/>
        <v>0</v>
      </c>
      <c r="BW12" s="26"/>
      <c r="BX12" s="26"/>
      <c r="BY12" s="26"/>
      <c r="BZ12" s="26"/>
      <c r="CA12" s="26"/>
      <c r="CB12" s="26"/>
      <c r="CC12" s="26"/>
      <c r="CD12" s="26"/>
      <c r="CE12" s="26"/>
      <c r="CF12" s="26"/>
      <c r="CG12" s="26"/>
      <c r="CH12" s="26"/>
      <c r="CI12" s="28">
        <f t="shared" si="116"/>
        <v>0</v>
      </c>
    </row>
    <row r="13" spans="3:87" x14ac:dyDescent="0.3">
      <c r="C13" s="25" t="s">
        <v>106</v>
      </c>
      <c r="E13" s="26">
        <v>400</v>
      </c>
      <c r="F13" s="26">
        <v>0</v>
      </c>
      <c r="G13" s="26">
        <v>0</v>
      </c>
      <c r="H13" s="26">
        <v>200</v>
      </c>
      <c r="I13" s="26">
        <v>0</v>
      </c>
      <c r="J13" s="26">
        <v>0</v>
      </c>
      <c r="K13" s="26">
        <v>200</v>
      </c>
      <c r="L13" s="26">
        <v>0</v>
      </c>
      <c r="M13" s="26">
        <v>0</v>
      </c>
      <c r="N13" s="26">
        <v>0</v>
      </c>
      <c r="O13" s="26">
        <v>0</v>
      </c>
      <c r="P13" s="26">
        <v>0</v>
      </c>
      <c r="Q13" s="28">
        <f t="shared" si="117"/>
        <v>800</v>
      </c>
      <c r="S13" s="26">
        <v>100</v>
      </c>
      <c r="T13" s="26">
        <v>100</v>
      </c>
      <c r="U13" s="26">
        <v>100</v>
      </c>
      <c r="V13" s="26">
        <v>100</v>
      </c>
      <c r="W13" s="26">
        <v>100</v>
      </c>
      <c r="X13" s="26">
        <v>100</v>
      </c>
      <c r="Y13" s="26">
        <v>100</v>
      </c>
      <c r="Z13" s="26">
        <v>100</v>
      </c>
      <c r="AA13" s="26">
        <v>100</v>
      </c>
      <c r="AB13" s="26">
        <v>100</v>
      </c>
      <c r="AC13" s="26">
        <v>100</v>
      </c>
      <c r="AD13" s="26">
        <v>100</v>
      </c>
      <c r="AE13" s="28">
        <f t="shared" si="118"/>
        <v>1200</v>
      </c>
      <c r="AG13" s="26"/>
      <c r="AH13" s="26"/>
      <c r="AI13" s="26"/>
      <c r="AJ13" s="26"/>
      <c r="AK13" s="26"/>
      <c r="AL13" s="26"/>
      <c r="AM13" s="26"/>
      <c r="AN13" s="26"/>
      <c r="AO13" s="26"/>
      <c r="AP13" s="26"/>
      <c r="AQ13" s="26"/>
      <c r="AR13" s="26"/>
      <c r="AS13" s="28">
        <f t="shared" si="113"/>
        <v>0</v>
      </c>
      <c r="AU13" s="26"/>
      <c r="AV13" s="26"/>
      <c r="AW13" s="26"/>
      <c r="AX13" s="26"/>
      <c r="AY13" s="26"/>
      <c r="AZ13" s="26"/>
      <c r="BA13" s="26"/>
      <c r="BB13" s="26"/>
      <c r="BC13" s="26"/>
      <c r="BD13" s="26"/>
      <c r="BE13" s="26"/>
      <c r="BF13" s="26"/>
      <c r="BG13" s="28">
        <f t="shared" si="114"/>
        <v>0</v>
      </c>
      <c r="BI13" s="26"/>
      <c r="BJ13" s="26"/>
      <c r="BK13" s="26"/>
      <c r="BL13" s="26"/>
      <c r="BM13" s="26"/>
      <c r="BN13" s="26"/>
      <c r="BO13" s="26"/>
      <c r="BP13" s="26"/>
      <c r="BQ13" s="26"/>
      <c r="BR13" s="26"/>
      <c r="BS13" s="26"/>
      <c r="BT13" s="26"/>
      <c r="BU13" s="28">
        <f t="shared" si="115"/>
        <v>0</v>
      </c>
      <c r="BW13" s="26"/>
      <c r="BX13" s="26"/>
      <c r="BY13" s="26"/>
      <c r="BZ13" s="26"/>
      <c r="CA13" s="26"/>
      <c r="CB13" s="26"/>
      <c r="CC13" s="26"/>
      <c r="CD13" s="26"/>
      <c r="CE13" s="26"/>
      <c r="CF13" s="26"/>
      <c r="CG13" s="26"/>
      <c r="CH13" s="26"/>
      <c r="CI13" s="28">
        <f t="shared" si="116"/>
        <v>0</v>
      </c>
    </row>
    <row r="14" spans="3:87" x14ac:dyDescent="0.3">
      <c r="C14" s="25" t="s">
        <v>107</v>
      </c>
      <c r="E14" s="26">
        <v>0</v>
      </c>
      <c r="F14" s="26">
        <v>0</v>
      </c>
      <c r="G14" s="26">
        <v>0</v>
      </c>
      <c r="H14" s="26">
        <v>0</v>
      </c>
      <c r="I14" s="26">
        <v>0</v>
      </c>
      <c r="J14" s="26">
        <v>0</v>
      </c>
      <c r="K14" s="26">
        <v>0</v>
      </c>
      <c r="L14" s="26">
        <v>0</v>
      </c>
      <c r="M14" s="26">
        <v>0</v>
      </c>
      <c r="N14" s="26">
        <v>0</v>
      </c>
      <c r="O14" s="26">
        <v>0</v>
      </c>
      <c r="P14" s="26">
        <v>0</v>
      </c>
      <c r="Q14" s="28">
        <f t="shared" si="117"/>
        <v>0</v>
      </c>
      <c r="S14" s="26"/>
      <c r="T14" s="26"/>
      <c r="U14" s="26"/>
      <c r="V14" s="26"/>
      <c r="W14" s="26"/>
      <c r="X14" s="26"/>
      <c r="Y14" s="26"/>
      <c r="Z14" s="26"/>
      <c r="AA14" s="26"/>
      <c r="AB14" s="26"/>
      <c r="AC14" s="26"/>
      <c r="AD14" s="26"/>
      <c r="AE14" s="28">
        <f t="shared" si="118"/>
        <v>0</v>
      </c>
      <c r="AG14" s="26"/>
      <c r="AH14" s="26"/>
      <c r="AI14" s="26"/>
      <c r="AJ14" s="26"/>
      <c r="AK14" s="26"/>
      <c r="AL14" s="26"/>
      <c r="AM14" s="26"/>
      <c r="AN14" s="26"/>
      <c r="AO14" s="26"/>
      <c r="AP14" s="26"/>
      <c r="AQ14" s="26"/>
      <c r="AR14" s="26"/>
      <c r="AS14" s="28">
        <f t="shared" si="113"/>
        <v>0</v>
      </c>
      <c r="AU14" s="26"/>
      <c r="AV14" s="26"/>
      <c r="AW14" s="26"/>
      <c r="AX14" s="26"/>
      <c r="AY14" s="26"/>
      <c r="AZ14" s="26"/>
      <c r="BA14" s="26"/>
      <c r="BB14" s="26"/>
      <c r="BC14" s="26"/>
      <c r="BD14" s="26"/>
      <c r="BE14" s="26"/>
      <c r="BF14" s="26"/>
      <c r="BG14" s="28">
        <f t="shared" si="114"/>
        <v>0</v>
      </c>
      <c r="BI14" s="26"/>
      <c r="BJ14" s="26"/>
      <c r="BK14" s="26"/>
      <c r="BL14" s="26"/>
      <c r="BM14" s="26"/>
      <c r="BN14" s="26"/>
      <c r="BO14" s="26"/>
      <c r="BP14" s="26"/>
      <c r="BQ14" s="26"/>
      <c r="BR14" s="26"/>
      <c r="BS14" s="26"/>
      <c r="BT14" s="26"/>
      <c r="BU14" s="28">
        <f t="shared" si="115"/>
        <v>0</v>
      </c>
      <c r="BW14" s="26"/>
      <c r="BX14" s="26"/>
      <c r="BY14" s="26"/>
      <c r="BZ14" s="26"/>
      <c r="CA14" s="26"/>
      <c r="CB14" s="26"/>
      <c r="CC14" s="26"/>
      <c r="CD14" s="26"/>
      <c r="CE14" s="26"/>
      <c r="CF14" s="26"/>
      <c r="CG14" s="26"/>
      <c r="CH14" s="26"/>
      <c r="CI14" s="28">
        <f t="shared" si="116"/>
        <v>0</v>
      </c>
    </row>
    <row r="15" spans="3:87" x14ac:dyDescent="0.3">
      <c r="C15" s="25" t="s">
        <v>334</v>
      </c>
      <c r="E15" s="26"/>
      <c r="F15" s="26"/>
      <c r="G15" s="26"/>
      <c r="H15" s="26"/>
      <c r="I15" s="26"/>
      <c r="J15" s="26"/>
      <c r="K15" s="26"/>
      <c r="L15" s="26"/>
      <c r="M15" s="26"/>
      <c r="N15" s="26"/>
      <c r="O15" s="26"/>
      <c r="P15" s="26"/>
      <c r="Q15" s="28">
        <f t="shared" si="117"/>
        <v>0</v>
      </c>
      <c r="S15" s="26"/>
      <c r="T15" s="26"/>
      <c r="U15" s="26"/>
      <c r="V15" s="26"/>
      <c r="W15" s="26"/>
      <c r="X15" s="26"/>
      <c r="Y15" s="26"/>
      <c r="Z15" s="26"/>
      <c r="AA15" s="26"/>
      <c r="AB15" s="26"/>
      <c r="AC15" s="26"/>
      <c r="AD15" s="26"/>
      <c r="AE15" s="28">
        <f t="shared" si="118"/>
        <v>0</v>
      </c>
      <c r="AG15" s="26"/>
      <c r="AH15" s="26"/>
      <c r="AI15" s="26"/>
      <c r="AJ15" s="26"/>
      <c r="AK15" s="26"/>
      <c r="AL15" s="26"/>
      <c r="AM15" s="26"/>
      <c r="AN15" s="26"/>
      <c r="AO15" s="26"/>
      <c r="AP15" s="26"/>
      <c r="AQ15" s="26"/>
      <c r="AR15" s="26"/>
      <c r="AS15" s="28">
        <f t="shared" si="113"/>
        <v>0</v>
      </c>
      <c r="AU15" s="26"/>
      <c r="AV15" s="26"/>
      <c r="AW15" s="26"/>
      <c r="AX15" s="26"/>
      <c r="AY15" s="26"/>
      <c r="AZ15" s="26"/>
      <c r="BA15" s="26"/>
      <c r="BB15" s="26"/>
      <c r="BC15" s="26"/>
      <c r="BD15" s="26"/>
      <c r="BE15" s="26"/>
      <c r="BF15" s="26"/>
      <c r="BG15" s="28">
        <f t="shared" si="114"/>
        <v>0</v>
      </c>
      <c r="BI15" s="26"/>
      <c r="BJ15" s="26"/>
      <c r="BK15" s="26"/>
      <c r="BL15" s="26"/>
      <c r="BM15" s="26"/>
      <c r="BN15" s="26"/>
      <c r="BO15" s="26"/>
      <c r="BP15" s="26"/>
      <c r="BQ15" s="26"/>
      <c r="BR15" s="26"/>
      <c r="BS15" s="26"/>
      <c r="BT15" s="26"/>
      <c r="BU15" s="28">
        <f t="shared" si="115"/>
        <v>0</v>
      </c>
      <c r="BW15" s="26"/>
      <c r="BX15" s="26"/>
      <c r="BY15" s="26"/>
      <c r="BZ15" s="26"/>
      <c r="CA15" s="26"/>
      <c r="CB15" s="26"/>
      <c r="CC15" s="26"/>
      <c r="CD15" s="26"/>
      <c r="CE15" s="26"/>
      <c r="CF15" s="26"/>
      <c r="CG15" s="26"/>
      <c r="CH15" s="26"/>
      <c r="CI15" s="28">
        <f t="shared" si="116"/>
        <v>0</v>
      </c>
    </row>
    <row r="16" spans="3:87" x14ac:dyDescent="0.3">
      <c r="C16" s="25" t="s">
        <v>6</v>
      </c>
      <c r="E16" s="26"/>
      <c r="F16" s="26"/>
      <c r="G16" s="26"/>
      <c r="H16" s="26"/>
      <c r="I16" s="26"/>
      <c r="J16" s="26"/>
      <c r="K16" s="26"/>
      <c r="L16" s="26"/>
      <c r="M16" s="26"/>
      <c r="N16" s="26"/>
      <c r="O16" s="26"/>
      <c r="P16" s="26"/>
      <c r="Q16" s="28">
        <f t="shared" si="117"/>
        <v>0</v>
      </c>
      <c r="S16" s="26"/>
      <c r="T16" s="26"/>
      <c r="U16" s="26"/>
      <c r="V16" s="26"/>
      <c r="W16" s="26"/>
      <c r="X16" s="26"/>
      <c r="Y16" s="26"/>
      <c r="Z16" s="26"/>
      <c r="AA16" s="26"/>
      <c r="AB16" s="26"/>
      <c r="AC16" s="26"/>
      <c r="AD16" s="26"/>
      <c r="AE16" s="28">
        <f t="shared" si="118"/>
        <v>0</v>
      </c>
      <c r="AG16" s="26"/>
      <c r="AH16" s="26"/>
      <c r="AI16" s="26"/>
      <c r="AJ16" s="26"/>
      <c r="AK16" s="26"/>
      <c r="AL16" s="26"/>
      <c r="AM16" s="26"/>
      <c r="AN16" s="26"/>
      <c r="AO16" s="26"/>
      <c r="AP16" s="26"/>
      <c r="AQ16" s="26"/>
      <c r="AR16" s="26"/>
      <c r="AS16" s="28">
        <f t="shared" si="113"/>
        <v>0</v>
      </c>
      <c r="AU16" s="26"/>
      <c r="AV16" s="26"/>
      <c r="AW16" s="26"/>
      <c r="AX16" s="26"/>
      <c r="AY16" s="26"/>
      <c r="AZ16" s="26"/>
      <c r="BA16" s="26"/>
      <c r="BB16" s="26"/>
      <c r="BC16" s="26"/>
      <c r="BD16" s="26"/>
      <c r="BE16" s="26"/>
      <c r="BF16" s="26"/>
      <c r="BG16" s="28">
        <f t="shared" si="114"/>
        <v>0</v>
      </c>
      <c r="BI16" s="26"/>
      <c r="BJ16" s="26"/>
      <c r="BK16" s="26"/>
      <c r="BL16" s="26"/>
      <c r="BM16" s="26"/>
      <c r="BN16" s="26"/>
      <c r="BO16" s="26"/>
      <c r="BP16" s="26"/>
      <c r="BQ16" s="26"/>
      <c r="BR16" s="26"/>
      <c r="BS16" s="26"/>
      <c r="BT16" s="26"/>
      <c r="BU16" s="28">
        <f t="shared" si="115"/>
        <v>0</v>
      </c>
      <c r="BW16" s="26"/>
      <c r="BX16" s="26"/>
      <c r="BY16" s="26"/>
      <c r="BZ16" s="26"/>
      <c r="CA16" s="26"/>
      <c r="CB16" s="26"/>
      <c r="CC16" s="26"/>
      <c r="CD16" s="26"/>
      <c r="CE16" s="26"/>
      <c r="CF16" s="26"/>
      <c r="CG16" s="26"/>
      <c r="CH16" s="26"/>
      <c r="CI16" s="28">
        <f t="shared" si="116"/>
        <v>0</v>
      </c>
    </row>
    <row r="17" spans="3:87" x14ac:dyDescent="0.3">
      <c r="C17" s="25" t="s">
        <v>6</v>
      </c>
      <c r="E17" s="26"/>
      <c r="F17" s="26"/>
      <c r="G17" s="26"/>
      <c r="H17" s="26"/>
      <c r="I17" s="26"/>
      <c r="J17" s="26"/>
      <c r="K17" s="26"/>
      <c r="L17" s="26"/>
      <c r="M17" s="26"/>
      <c r="N17" s="26"/>
      <c r="O17" s="26"/>
      <c r="P17" s="26"/>
      <c r="Q17" s="28">
        <f t="shared" si="117"/>
        <v>0</v>
      </c>
      <c r="S17" s="26"/>
      <c r="T17" s="26"/>
      <c r="U17" s="26"/>
      <c r="V17" s="26"/>
      <c r="W17" s="26"/>
      <c r="X17" s="26"/>
      <c r="Y17" s="26"/>
      <c r="Z17" s="26"/>
      <c r="AA17" s="26"/>
      <c r="AB17" s="26"/>
      <c r="AC17" s="26"/>
      <c r="AD17" s="26"/>
      <c r="AE17" s="28">
        <f t="shared" si="118"/>
        <v>0</v>
      </c>
      <c r="AG17" s="26"/>
      <c r="AH17" s="26"/>
      <c r="AI17" s="26"/>
      <c r="AJ17" s="26"/>
      <c r="AK17" s="26"/>
      <c r="AL17" s="26"/>
      <c r="AM17" s="26"/>
      <c r="AN17" s="26"/>
      <c r="AO17" s="26"/>
      <c r="AP17" s="26"/>
      <c r="AQ17" s="26"/>
      <c r="AR17" s="26"/>
      <c r="AS17" s="28">
        <f t="shared" si="113"/>
        <v>0</v>
      </c>
      <c r="AU17" s="26"/>
      <c r="AV17" s="26"/>
      <c r="AW17" s="26"/>
      <c r="AX17" s="26"/>
      <c r="AY17" s="26"/>
      <c r="AZ17" s="26"/>
      <c r="BA17" s="26"/>
      <c r="BB17" s="26"/>
      <c r="BC17" s="26"/>
      <c r="BD17" s="26"/>
      <c r="BE17" s="26"/>
      <c r="BF17" s="26"/>
      <c r="BG17" s="28">
        <f t="shared" si="114"/>
        <v>0</v>
      </c>
      <c r="BI17" s="26"/>
      <c r="BJ17" s="26"/>
      <c r="BK17" s="26"/>
      <c r="BL17" s="26"/>
      <c r="BM17" s="26"/>
      <c r="BN17" s="26"/>
      <c r="BO17" s="26"/>
      <c r="BP17" s="26"/>
      <c r="BQ17" s="26"/>
      <c r="BR17" s="26"/>
      <c r="BS17" s="26"/>
      <c r="BT17" s="26"/>
      <c r="BU17" s="28">
        <f t="shared" si="115"/>
        <v>0</v>
      </c>
      <c r="BW17" s="26"/>
      <c r="BX17" s="26"/>
      <c r="BY17" s="26"/>
      <c r="BZ17" s="26"/>
      <c r="CA17" s="26"/>
      <c r="CB17" s="26"/>
      <c r="CC17" s="26"/>
      <c r="CD17" s="26"/>
      <c r="CE17" s="26"/>
      <c r="CF17" s="26"/>
      <c r="CG17" s="26"/>
      <c r="CH17" s="26"/>
      <c r="CI17" s="28">
        <f t="shared" si="116"/>
        <v>0</v>
      </c>
    </row>
    <row r="18" spans="3:87" x14ac:dyDescent="0.3">
      <c r="C18" s="25" t="s">
        <v>6</v>
      </c>
      <c r="E18" s="26"/>
      <c r="F18" s="26"/>
      <c r="G18" s="26"/>
      <c r="H18" s="26"/>
      <c r="I18" s="26"/>
      <c r="J18" s="26"/>
      <c r="K18" s="26"/>
      <c r="L18" s="26"/>
      <c r="M18" s="26"/>
      <c r="N18" s="26"/>
      <c r="O18" s="26"/>
      <c r="P18" s="26"/>
      <c r="Q18" s="28">
        <f t="shared" si="117"/>
        <v>0</v>
      </c>
      <c r="S18" s="26"/>
      <c r="T18" s="26"/>
      <c r="U18" s="26"/>
      <c r="V18" s="26"/>
      <c r="W18" s="26"/>
      <c r="X18" s="26"/>
      <c r="Y18" s="26"/>
      <c r="Z18" s="26"/>
      <c r="AA18" s="26"/>
      <c r="AB18" s="26"/>
      <c r="AC18" s="26"/>
      <c r="AD18" s="26"/>
      <c r="AE18" s="28">
        <f t="shared" si="118"/>
        <v>0</v>
      </c>
      <c r="AG18" s="26"/>
      <c r="AH18" s="26"/>
      <c r="AI18" s="26"/>
      <c r="AJ18" s="26"/>
      <c r="AK18" s="26"/>
      <c r="AL18" s="26"/>
      <c r="AM18" s="26"/>
      <c r="AN18" s="26"/>
      <c r="AO18" s="26"/>
      <c r="AP18" s="26"/>
      <c r="AQ18" s="26"/>
      <c r="AR18" s="26"/>
      <c r="AS18" s="28">
        <f t="shared" si="113"/>
        <v>0</v>
      </c>
      <c r="AU18" s="26"/>
      <c r="AV18" s="26"/>
      <c r="AW18" s="26"/>
      <c r="AX18" s="26"/>
      <c r="AY18" s="26"/>
      <c r="AZ18" s="26"/>
      <c r="BA18" s="26"/>
      <c r="BB18" s="26"/>
      <c r="BC18" s="26"/>
      <c r="BD18" s="26"/>
      <c r="BE18" s="26"/>
      <c r="BF18" s="26"/>
      <c r="BG18" s="28">
        <f t="shared" si="114"/>
        <v>0</v>
      </c>
      <c r="BI18" s="26"/>
      <c r="BJ18" s="26"/>
      <c r="BK18" s="26"/>
      <c r="BL18" s="26"/>
      <c r="BM18" s="26"/>
      <c r="BN18" s="26"/>
      <c r="BO18" s="26"/>
      <c r="BP18" s="26"/>
      <c r="BQ18" s="26"/>
      <c r="BR18" s="26"/>
      <c r="BS18" s="26"/>
      <c r="BT18" s="26"/>
      <c r="BU18" s="28">
        <f t="shared" si="115"/>
        <v>0</v>
      </c>
      <c r="BW18" s="26"/>
      <c r="BX18" s="26"/>
      <c r="BY18" s="26"/>
      <c r="BZ18" s="26"/>
      <c r="CA18" s="26"/>
      <c r="CB18" s="26"/>
      <c r="CC18" s="26"/>
      <c r="CD18" s="26"/>
      <c r="CE18" s="26"/>
      <c r="CF18" s="26"/>
      <c r="CG18" s="26"/>
      <c r="CH18" s="26"/>
      <c r="CI18" s="28">
        <f t="shared" si="116"/>
        <v>0</v>
      </c>
    </row>
    <row r="19" spans="3:87" x14ac:dyDescent="0.3">
      <c r="C19" s="25" t="s">
        <v>6</v>
      </c>
      <c r="E19" s="26"/>
      <c r="F19" s="26"/>
      <c r="G19" s="26"/>
      <c r="H19" s="26"/>
      <c r="I19" s="26"/>
      <c r="J19" s="26"/>
      <c r="K19" s="26"/>
      <c r="L19" s="26"/>
      <c r="M19" s="26"/>
      <c r="N19" s="26"/>
      <c r="O19" s="26"/>
      <c r="P19" s="26"/>
      <c r="Q19" s="28">
        <f t="shared" si="117"/>
        <v>0</v>
      </c>
      <c r="S19" s="26"/>
      <c r="T19" s="26"/>
      <c r="U19" s="26"/>
      <c r="V19" s="26"/>
      <c r="W19" s="26"/>
      <c r="X19" s="26"/>
      <c r="Y19" s="26"/>
      <c r="Z19" s="26"/>
      <c r="AA19" s="26"/>
      <c r="AB19" s="26"/>
      <c r="AC19" s="26"/>
      <c r="AD19" s="26"/>
      <c r="AE19" s="28">
        <f t="shared" si="118"/>
        <v>0</v>
      </c>
      <c r="AG19" s="26"/>
      <c r="AH19" s="26"/>
      <c r="AI19" s="26"/>
      <c r="AJ19" s="26"/>
      <c r="AK19" s="26"/>
      <c r="AL19" s="26"/>
      <c r="AM19" s="26"/>
      <c r="AN19" s="26"/>
      <c r="AO19" s="26"/>
      <c r="AP19" s="26"/>
      <c r="AQ19" s="26"/>
      <c r="AR19" s="26"/>
      <c r="AS19" s="28">
        <f t="shared" si="113"/>
        <v>0</v>
      </c>
      <c r="AU19" s="26"/>
      <c r="AV19" s="26"/>
      <c r="AW19" s="26"/>
      <c r="AX19" s="26"/>
      <c r="AY19" s="26"/>
      <c r="AZ19" s="26"/>
      <c r="BA19" s="26"/>
      <c r="BB19" s="26"/>
      <c r="BC19" s="26"/>
      <c r="BD19" s="26"/>
      <c r="BE19" s="26"/>
      <c r="BF19" s="26"/>
      <c r="BG19" s="28">
        <f t="shared" si="114"/>
        <v>0</v>
      </c>
      <c r="BI19" s="26"/>
      <c r="BJ19" s="26"/>
      <c r="BK19" s="26"/>
      <c r="BL19" s="26"/>
      <c r="BM19" s="26"/>
      <c r="BN19" s="26"/>
      <c r="BO19" s="26"/>
      <c r="BP19" s="26"/>
      <c r="BQ19" s="26"/>
      <c r="BR19" s="26"/>
      <c r="BS19" s="26"/>
      <c r="BT19" s="26"/>
      <c r="BU19" s="28">
        <f t="shared" si="115"/>
        <v>0</v>
      </c>
      <c r="BW19" s="26"/>
      <c r="BX19" s="26"/>
      <c r="BY19" s="26"/>
      <c r="BZ19" s="26"/>
      <c r="CA19" s="26"/>
      <c r="CB19" s="26"/>
      <c r="CC19" s="26"/>
      <c r="CD19" s="26"/>
      <c r="CE19" s="26"/>
      <c r="CF19" s="26"/>
      <c r="CG19" s="26"/>
      <c r="CH19" s="26"/>
      <c r="CI19" s="28">
        <f t="shared" si="116"/>
        <v>0</v>
      </c>
    </row>
    <row r="20" spans="3:87" x14ac:dyDescent="0.3">
      <c r="C20" s="22" t="s">
        <v>7</v>
      </c>
      <c r="E20" s="27" cm="1">
        <f t="array" aca="1" ref="E20" ca="1">SUM(INDIRECT(ADDRESS(income_min_row,COLUMN())&amp;":"&amp;ADDRESS(income_max_row,COLUMN())))</f>
        <v>610</v>
      </c>
      <c r="F20" s="27" cm="1">
        <f t="array" aca="1" ref="F20" ca="1">SUM(INDIRECT(ADDRESS(income_min_row,COLUMN())&amp;":"&amp;ADDRESS(income_max_row,COLUMN())))</f>
        <v>453</v>
      </c>
      <c r="G20" s="27" cm="1">
        <f t="array" aca="1" ref="G20" ca="1">SUM(INDIRECT(ADDRESS(income_min_row,COLUMN())&amp;":"&amp;ADDRESS(income_max_row,COLUMN())))</f>
        <v>565</v>
      </c>
      <c r="H20" s="27" cm="1">
        <f t="array" aca="1" ref="H20" ca="1">SUM(INDIRECT(ADDRESS(income_min_row,COLUMN())&amp;":"&amp;ADDRESS(income_max_row,COLUMN())))</f>
        <v>555</v>
      </c>
      <c r="I20" s="27" cm="1">
        <f t="array" aca="1" ref="I20" ca="1">SUM(INDIRECT(ADDRESS(income_min_row,COLUMN())&amp;":"&amp;ADDRESS(income_max_row,COLUMN())))</f>
        <v>351</v>
      </c>
      <c r="J20" s="27" cm="1">
        <f t="array" aca="1" ref="J20" ca="1">SUM(INDIRECT(ADDRESS(income_min_row,COLUMN())&amp;":"&amp;ADDRESS(income_max_row,COLUMN())))</f>
        <v>642</v>
      </c>
      <c r="K20" s="27" cm="1">
        <f t="array" aca="1" ref="K20" ca="1">SUM(INDIRECT(ADDRESS(income_min_row,COLUMN())&amp;":"&amp;ADDRESS(income_max_row,COLUMN())))</f>
        <v>2160</v>
      </c>
      <c r="L20" s="27" cm="1">
        <f t="array" aca="1" ref="L20" ca="1">SUM(INDIRECT(ADDRESS(income_min_row,COLUMN())&amp;":"&amp;ADDRESS(income_max_row,COLUMN())))</f>
        <v>1863</v>
      </c>
      <c r="M20" s="27" cm="1">
        <f t="array" aca="1" ref="M20" ca="1">SUM(INDIRECT(ADDRESS(income_min_row,COLUMN())&amp;":"&amp;ADDRESS(income_max_row,COLUMN())))</f>
        <v>1555</v>
      </c>
      <c r="N20" s="27" cm="1">
        <f t="array" aca="1" ref="N20" ca="1">SUM(INDIRECT(ADDRESS(income_min_row,COLUMN())&amp;":"&amp;ADDRESS(income_max_row,COLUMN())))</f>
        <v>1865</v>
      </c>
      <c r="O20" s="27" cm="1">
        <f t="array" aca="1" ref="O20" ca="1">SUM(INDIRECT(ADDRESS(income_min_row,COLUMN())&amp;":"&amp;ADDRESS(income_max_row,COLUMN())))</f>
        <v>1211</v>
      </c>
      <c r="P20" s="27" cm="1">
        <f t="array" aca="1" ref="P20" ca="1">SUM(INDIRECT(ADDRESS(income_min_row,COLUMN())&amp;":"&amp;ADDRESS(income_max_row,COLUMN())))</f>
        <v>1042</v>
      </c>
      <c r="Q20" s="27" cm="1">
        <f t="array" aca="1" ref="Q20" ca="1">SUM(INDIRECT(ADDRESS(income_min_row,COLUMN())&amp;":"&amp;ADDRESS(income_max_row,COLUMN())))</f>
        <v>12872</v>
      </c>
      <c r="S20" s="27" cm="1">
        <f t="array" aca="1" ref="S20" ca="1">SUM(INDIRECT(ADDRESS(income_min_row,COLUMN())&amp;":"&amp;ADDRESS(income_max_row,COLUMN())))</f>
        <v>1612</v>
      </c>
      <c r="T20" s="27" cm="1">
        <f t="array" aca="1" ref="T20" ca="1">SUM(INDIRECT(ADDRESS(income_min_row,COLUMN())&amp;":"&amp;ADDRESS(income_max_row,COLUMN())))</f>
        <v>1612</v>
      </c>
      <c r="U20" s="27" cm="1">
        <f t="array" aca="1" ref="U20" ca="1">SUM(INDIRECT(ADDRESS(income_min_row,COLUMN())&amp;":"&amp;ADDRESS(income_max_row,COLUMN())))</f>
        <v>1612</v>
      </c>
      <c r="V20" s="27" cm="1">
        <f t="array" aca="1" ref="V20" ca="1">SUM(INDIRECT(ADDRESS(income_min_row,COLUMN())&amp;":"&amp;ADDRESS(income_max_row,COLUMN())))</f>
        <v>1612</v>
      </c>
      <c r="W20" s="27" cm="1">
        <f t="array" aca="1" ref="W20" ca="1">SUM(INDIRECT(ADDRESS(income_min_row,COLUMN())&amp;":"&amp;ADDRESS(income_max_row,COLUMN())))</f>
        <v>1612</v>
      </c>
      <c r="X20" s="27" cm="1">
        <f t="array" aca="1" ref="X20" ca="1">SUM(INDIRECT(ADDRESS(income_min_row,COLUMN())&amp;":"&amp;ADDRESS(income_max_row,COLUMN())))</f>
        <v>1612</v>
      </c>
      <c r="Y20" s="27" cm="1">
        <f t="array" aca="1" ref="Y20" ca="1">SUM(INDIRECT(ADDRESS(income_min_row,COLUMN())&amp;":"&amp;ADDRESS(income_max_row,COLUMN())))</f>
        <v>1612</v>
      </c>
      <c r="Z20" s="27" cm="1">
        <f t="array" aca="1" ref="Z20" ca="1">SUM(INDIRECT(ADDRESS(income_min_row,COLUMN())&amp;":"&amp;ADDRESS(income_max_row,COLUMN())))</f>
        <v>1612</v>
      </c>
      <c r="AA20" s="27" cm="1">
        <f t="array" aca="1" ref="AA20" ca="1">SUM(INDIRECT(ADDRESS(income_min_row,COLUMN())&amp;":"&amp;ADDRESS(income_max_row,COLUMN())))</f>
        <v>1612</v>
      </c>
      <c r="AB20" s="27" cm="1">
        <f t="array" aca="1" ref="AB20" ca="1">SUM(INDIRECT(ADDRESS(income_min_row,COLUMN())&amp;":"&amp;ADDRESS(income_max_row,COLUMN())))</f>
        <v>1612</v>
      </c>
      <c r="AC20" s="27" cm="1">
        <f t="array" aca="1" ref="AC20" ca="1">SUM(INDIRECT(ADDRESS(income_min_row,COLUMN())&amp;":"&amp;ADDRESS(income_max_row,COLUMN())))</f>
        <v>1612</v>
      </c>
      <c r="AD20" s="27" cm="1">
        <f t="array" aca="1" ref="AD20" ca="1">SUM(INDIRECT(ADDRESS(income_min_row,COLUMN())&amp;":"&amp;ADDRESS(income_max_row,COLUMN())))</f>
        <v>1612</v>
      </c>
      <c r="AE20" s="27" cm="1">
        <f t="array" aca="1" ref="AE20" ca="1">SUM(INDIRECT(ADDRESS(income_min_row,COLUMN())&amp;":"&amp;ADDRESS(income_max_row,COLUMN())))</f>
        <v>19344</v>
      </c>
      <c r="AG20" s="27" cm="1">
        <f t="array" aca="1" ref="AG20" ca="1">SUM(INDIRECT(ADDRESS(income_min_row,COLUMN())&amp;":"&amp;ADDRESS(income_max_row,COLUMN())))</f>
        <v>0</v>
      </c>
      <c r="AH20" s="27" cm="1">
        <f t="array" aca="1" ref="AH20" ca="1">SUM(INDIRECT(ADDRESS(income_min_row,COLUMN())&amp;":"&amp;ADDRESS(income_max_row,COLUMN())))</f>
        <v>0</v>
      </c>
      <c r="AI20" s="27" cm="1">
        <f t="array" aca="1" ref="AI20" ca="1">SUM(INDIRECT(ADDRESS(income_min_row,COLUMN())&amp;":"&amp;ADDRESS(income_max_row,COLUMN())))</f>
        <v>0</v>
      </c>
      <c r="AJ20" s="27" cm="1">
        <f t="array" aca="1" ref="AJ20" ca="1">SUM(INDIRECT(ADDRESS(income_min_row,COLUMN())&amp;":"&amp;ADDRESS(income_max_row,COLUMN())))</f>
        <v>0</v>
      </c>
      <c r="AK20" s="27" cm="1">
        <f t="array" aca="1" ref="AK20" ca="1">SUM(INDIRECT(ADDRESS(income_min_row,COLUMN())&amp;":"&amp;ADDRESS(income_max_row,COLUMN())))</f>
        <v>0</v>
      </c>
      <c r="AL20" s="27" cm="1">
        <f t="array" aca="1" ref="AL20" ca="1">SUM(INDIRECT(ADDRESS(income_min_row,COLUMN())&amp;":"&amp;ADDRESS(income_max_row,COLUMN())))</f>
        <v>0</v>
      </c>
      <c r="AM20" s="27" cm="1">
        <f t="array" aca="1" ref="AM20" ca="1">SUM(INDIRECT(ADDRESS(income_min_row,COLUMN())&amp;":"&amp;ADDRESS(income_max_row,COLUMN())))</f>
        <v>0</v>
      </c>
      <c r="AN20" s="27" cm="1">
        <f t="array" aca="1" ref="AN20" ca="1">SUM(INDIRECT(ADDRESS(income_min_row,COLUMN())&amp;":"&amp;ADDRESS(income_max_row,COLUMN())))</f>
        <v>0</v>
      </c>
      <c r="AO20" s="27" cm="1">
        <f t="array" aca="1" ref="AO20" ca="1">SUM(INDIRECT(ADDRESS(income_min_row,COLUMN())&amp;":"&amp;ADDRESS(income_max_row,COLUMN())))</f>
        <v>0</v>
      </c>
      <c r="AP20" s="27" cm="1">
        <f t="array" aca="1" ref="AP20" ca="1">SUM(INDIRECT(ADDRESS(income_min_row,COLUMN())&amp;":"&amp;ADDRESS(income_max_row,COLUMN())))</f>
        <v>0</v>
      </c>
      <c r="AQ20" s="27" cm="1">
        <f t="array" aca="1" ref="AQ20" ca="1">SUM(INDIRECT(ADDRESS(income_min_row,COLUMN())&amp;":"&amp;ADDRESS(income_max_row,COLUMN())))</f>
        <v>0</v>
      </c>
      <c r="AR20" s="27" cm="1">
        <f t="array" aca="1" ref="AR20" ca="1">SUM(INDIRECT(ADDRESS(income_min_row,COLUMN())&amp;":"&amp;ADDRESS(income_max_row,COLUMN())))</f>
        <v>0</v>
      </c>
      <c r="AS20" s="27" cm="1">
        <f t="array" aca="1" ref="AS20" ca="1">SUM(INDIRECT(ADDRESS(income_min_row,COLUMN())&amp;":"&amp;ADDRESS(income_max_row,COLUMN())))</f>
        <v>0</v>
      </c>
      <c r="AU20" s="27" cm="1">
        <f t="array" aca="1" ref="AU20" ca="1">SUM(INDIRECT(ADDRESS(income_min_row,COLUMN())&amp;":"&amp;ADDRESS(income_max_row,COLUMN())))</f>
        <v>0</v>
      </c>
      <c r="AV20" s="27" cm="1">
        <f t="array" aca="1" ref="AV20" ca="1">SUM(INDIRECT(ADDRESS(income_min_row,COLUMN())&amp;":"&amp;ADDRESS(income_max_row,COLUMN())))</f>
        <v>0</v>
      </c>
      <c r="AW20" s="27" cm="1">
        <f t="array" aca="1" ref="AW20" ca="1">SUM(INDIRECT(ADDRESS(income_min_row,COLUMN())&amp;":"&amp;ADDRESS(income_max_row,COLUMN())))</f>
        <v>0</v>
      </c>
      <c r="AX20" s="27" cm="1">
        <f t="array" aca="1" ref="AX20" ca="1">SUM(INDIRECT(ADDRESS(income_min_row,COLUMN())&amp;":"&amp;ADDRESS(income_max_row,COLUMN())))</f>
        <v>0</v>
      </c>
      <c r="AY20" s="27" cm="1">
        <f t="array" aca="1" ref="AY20" ca="1">SUM(INDIRECT(ADDRESS(income_min_row,COLUMN())&amp;":"&amp;ADDRESS(income_max_row,COLUMN())))</f>
        <v>0</v>
      </c>
      <c r="AZ20" s="27" cm="1">
        <f t="array" aca="1" ref="AZ20" ca="1">SUM(INDIRECT(ADDRESS(income_min_row,COLUMN())&amp;":"&amp;ADDRESS(income_max_row,COLUMN())))</f>
        <v>0</v>
      </c>
      <c r="BA20" s="27" cm="1">
        <f t="array" aca="1" ref="BA20" ca="1">SUM(INDIRECT(ADDRESS(income_min_row,COLUMN())&amp;":"&amp;ADDRESS(income_max_row,COLUMN())))</f>
        <v>0</v>
      </c>
      <c r="BB20" s="27" cm="1">
        <f t="array" aca="1" ref="BB20" ca="1">SUM(INDIRECT(ADDRESS(income_min_row,COLUMN())&amp;":"&amp;ADDRESS(income_max_row,COLUMN())))</f>
        <v>0</v>
      </c>
      <c r="BC20" s="27" cm="1">
        <f t="array" aca="1" ref="BC20" ca="1">SUM(INDIRECT(ADDRESS(income_min_row,COLUMN())&amp;":"&amp;ADDRESS(income_max_row,COLUMN())))</f>
        <v>0</v>
      </c>
      <c r="BD20" s="27" cm="1">
        <f t="array" aca="1" ref="BD20" ca="1">SUM(INDIRECT(ADDRESS(income_min_row,COLUMN())&amp;":"&amp;ADDRESS(income_max_row,COLUMN())))</f>
        <v>0</v>
      </c>
      <c r="BE20" s="27" cm="1">
        <f t="array" aca="1" ref="BE20" ca="1">SUM(INDIRECT(ADDRESS(income_min_row,COLUMN())&amp;":"&amp;ADDRESS(income_max_row,COLUMN())))</f>
        <v>0</v>
      </c>
      <c r="BF20" s="27" cm="1">
        <f t="array" aca="1" ref="BF20" ca="1">SUM(INDIRECT(ADDRESS(income_min_row,COLUMN())&amp;":"&amp;ADDRESS(income_max_row,COLUMN())))</f>
        <v>0</v>
      </c>
      <c r="BG20" s="27" cm="1">
        <f t="array" aca="1" ref="BG20" ca="1">SUM(INDIRECT(ADDRESS(income_min_row,COLUMN())&amp;":"&amp;ADDRESS(income_max_row,COLUMN())))</f>
        <v>0</v>
      </c>
      <c r="BI20" s="27" cm="1">
        <f t="array" aca="1" ref="BI20" ca="1">SUM(INDIRECT(ADDRESS(income_min_row,COLUMN())&amp;":"&amp;ADDRESS(income_max_row,COLUMN())))</f>
        <v>0</v>
      </c>
      <c r="BJ20" s="27" cm="1">
        <f t="array" aca="1" ref="BJ20" ca="1">SUM(INDIRECT(ADDRESS(income_min_row,COLUMN())&amp;":"&amp;ADDRESS(income_max_row,COLUMN())))</f>
        <v>0</v>
      </c>
      <c r="BK20" s="27" cm="1">
        <f t="array" aca="1" ref="BK20" ca="1">SUM(INDIRECT(ADDRESS(income_min_row,COLUMN())&amp;":"&amp;ADDRESS(income_max_row,COLUMN())))</f>
        <v>0</v>
      </c>
      <c r="BL20" s="27" cm="1">
        <f t="array" aca="1" ref="BL20" ca="1">SUM(INDIRECT(ADDRESS(income_min_row,COLUMN())&amp;":"&amp;ADDRESS(income_max_row,COLUMN())))</f>
        <v>0</v>
      </c>
      <c r="BM20" s="27" cm="1">
        <f t="array" aca="1" ref="BM20" ca="1">SUM(INDIRECT(ADDRESS(income_min_row,COLUMN())&amp;":"&amp;ADDRESS(income_max_row,COLUMN())))</f>
        <v>0</v>
      </c>
      <c r="BN20" s="27" cm="1">
        <f t="array" aca="1" ref="BN20" ca="1">SUM(INDIRECT(ADDRESS(income_min_row,COLUMN())&amp;":"&amp;ADDRESS(income_max_row,COLUMN())))</f>
        <v>0</v>
      </c>
      <c r="BO20" s="27" cm="1">
        <f t="array" aca="1" ref="BO20" ca="1">SUM(INDIRECT(ADDRESS(income_min_row,COLUMN())&amp;":"&amp;ADDRESS(income_max_row,COLUMN())))</f>
        <v>0</v>
      </c>
      <c r="BP20" s="27" cm="1">
        <f t="array" aca="1" ref="BP20" ca="1">SUM(INDIRECT(ADDRESS(income_min_row,COLUMN())&amp;":"&amp;ADDRESS(income_max_row,COLUMN())))</f>
        <v>0</v>
      </c>
      <c r="BQ20" s="27" cm="1">
        <f t="array" aca="1" ref="BQ20" ca="1">SUM(INDIRECT(ADDRESS(income_min_row,COLUMN())&amp;":"&amp;ADDRESS(income_max_row,COLUMN())))</f>
        <v>0</v>
      </c>
      <c r="BR20" s="27" cm="1">
        <f t="array" aca="1" ref="BR20" ca="1">SUM(INDIRECT(ADDRESS(income_min_row,COLUMN())&amp;":"&amp;ADDRESS(income_max_row,COLUMN())))</f>
        <v>0</v>
      </c>
      <c r="BS20" s="27" cm="1">
        <f t="array" aca="1" ref="BS20" ca="1">SUM(INDIRECT(ADDRESS(income_min_row,COLUMN())&amp;":"&amp;ADDRESS(income_max_row,COLUMN())))</f>
        <v>0</v>
      </c>
      <c r="BT20" s="27" cm="1">
        <f t="array" aca="1" ref="BT20" ca="1">SUM(INDIRECT(ADDRESS(income_min_row,COLUMN())&amp;":"&amp;ADDRESS(income_max_row,COLUMN())))</f>
        <v>0</v>
      </c>
      <c r="BU20" s="27" cm="1">
        <f t="array" aca="1" ref="BU20" ca="1">SUM(INDIRECT(ADDRESS(income_min_row,COLUMN())&amp;":"&amp;ADDRESS(income_max_row,COLUMN())))</f>
        <v>0</v>
      </c>
      <c r="BW20" s="27" cm="1">
        <f t="array" aca="1" ref="BW20" ca="1">SUM(INDIRECT(ADDRESS(income_min_row,COLUMN())&amp;":"&amp;ADDRESS(income_max_row,COLUMN())))</f>
        <v>0</v>
      </c>
      <c r="BX20" s="27" cm="1">
        <f t="array" aca="1" ref="BX20" ca="1">SUM(INDIRECT(ADDRESS(income_min_row,COLUMN())&amp;":"&amp;ADDRESS(income_max_row,COLUMN())))</f>
        <v>0</v>
      </c>
      <c r="BY20" s="27" cm="1">
        <f t="array" aca="1" ref="BY20" ca="1">SUM(INDIRECT(ADDRESS(income_min_row,COLUMN())&amp;":"&amp;ADDRESS(income_max_row,COLUMN())))</f>
        <v>0</v>
      </c>
      <c r="BZ20" s="27" cm="1">
        <f t="array" aca="1" ref="BZ20" ca="1">SUM(INDIRECT(ADDRESS(income_min_row,COLUMN())&amp;":"&amp;ADDRESS(income_max_row,COLUMN())))</f>
        <v>0</v>
      </c>
      <c r="CA20" s="27" cm="1">
        <f t="array" aca="1" ref="CA20" ca="1">SUM(INDIRECT(ADDRESS(income_min_row,COLUMN())&amp;":"&amp;ADDRESS(income_max_row,COLUMN())))</f>
        <v>0</v>
      </c>
      <c r="CB20" s="27" cm="1">
        <f t="array" aca="1" ref="CB20" ca="1">SUM(INDIRECT(ADDRESS(income_min_row,COLUMN())&amp;":"&amp;ADDRESS(income_max_row,COLUMN())))</f>
        <v>0</v>
      </c>
      <c r="CC20" s="27" cm="1">
        <f t="array" aca="1" ref="CC20" ca="1">SUM(INDIRECT(ADDRESS(income_min_row,COLUMN())&amp;":"&amp;ADDRESS(income_max_row,COLUMN())))</f>
        <v>0</v>
      </c>
      <c r="CD20" s="27" cm="1">
        <f t="array" aca="1" ref="CD20" ca="1">SUM(INDIRECT(ADDRESS(income_min_row,COLUMN())&amp;":"&amp;ADDRESS(income_max_row,COLUMN())))</f>
        <v>0</v>
      </c>
      <c r="CE20" s="27" cm="1">
        <f t="array" aca="1" ref="CE20" ca="1">SUM(INDIRECT(ADDRESS(income_min_row,COLUMN())&amp;":"&amp;ADDRESS(income_max_row,COLUMN())))</f>
        <v>0</v>
      </c>
      <c r="CF20" s="27" cm="1">
        <f t="array" aca="1" ref="CF20" ca="1">SUM(INDIRECT(ADDRESS(income_min_row,COLUMN())&amp;":"&amp;ADDRESS(income_max_row,COLUMN())))</f>
        <v>0</v>
      </c>
      <c r="CG20" s="27" cm="1">
        <f t="array" aca="1" ref="CG20" ca="1">SUM(INDIRECT(ADDRESS(income_min_row,COLUMN())&amp;":"&amp;ADDRESS(income_max_row,COLUMN())))</f>
        <v>0</v>
      </c>
      <c r="CH20" s="27" cm="1">
        <f t="array" aca="1" ref="CH20" ca="1">SUM(INDIRECT(ADDRESS(income_min_row,COLUMN())&amp;":"&amp;ADDRESS(income_max_row,COLUMN())))</f>
        <v>0</v>
      </c>
      <c r="CI20" s="27" cm="1">
        <f t="array" aca="1" ref="CI20" ca="1">SUM(INDIRECT(ADDRESS(income_min_row,COLUMN())&amp;":"&amp;ADDRESS(income_max_row,COLUMN())))</f>
        <v>0</v>
      </c>
    </row>
    <row r="22" spans="3:87" x14ac:dyDescent="0.3">
      <c r="C22" s="77" t="s">
        <v>9</v>
      </c>
      <c r="D22" s="15"/>
      <c r="E22" s="29">
        <f>DATE(E$5,1,1)</f>
        <v>45658</v>
      </c>
      <c r="F22" s="29">
        <f>DATE(E$5,2,1)</f>
        <v>45689</v>
      </c>
      <c r="G22" s="29">
        <f>DATE(E$5,3,1)</f>
        <v>45717</v>
      </c>
      <c r="H22" s="29">
        <f>DATE(E$5,4,1)</f>
        <v>45748</v>
      </c>
      <c r="I22" s="29">
        <f>DATE(E$5,5,1)</f>
        <v>45778</v>
      </c>
      <c r="J22" s="29">
        <f>DATE(E$5,6,1)</f>
        <v>45809</v>
      </c>
      <c r="K22" s="29">
        <f>DATE(E$5,7,1)</f>
        <v>45839</v>
      </c>
      <c r="L22" s="29">
        <f>DATE(E$5,8,1)</f>
        <v>45870</v>
      </c>
      <c r="M22" s="29">
        <f>DATE(E$5,9,1)</f>
        <v>45901</v>
      </c>
      <c r="N22" s="29">
        <f>DATE(E$5,10,1)</f>
        <v>45931</v>
      </c>
      <c r="O22" s="29">
        <f>DATE(E$5,11,1)</f>
        <v>45962</v>
      </c>
      <c r="P22" s="29">
        <f>DATE(E$5,12,1)</f>
        <v>45992</v>
      </c>
      <c r="Q22" s="30">
        <f>E$5</f>
        <v>2025</v>
      </c>
      <c r="S22" s="29">
        <f>DATE(S$5,1,1)</f>
        <v>46023</v>
      </c>
      <c r="T22" s="29">
        <f>DATE(S$5,2,1)</f>
        <v>46054</v>
      </c>
      <c r="U22" s="29">
        <f>DATE(S$5,3,1)</f>
        <v>46082</v>
      </c>
      <c r="V22" s="29">
        <f>DATE(S$5,4,1)</f>
        <v>46113</v>
      </c>
      <c r="W22" s="29">
        <f>DATE(S$5,5,1)</f>
        <v>46143</v>
      </c>
      <c r="X22" s="29">
        <f>DATE(S$5,6,1)</f>
        <v>46174</v>
      </c>
      <c r="Y22" s="29">
        <f>DATE(S$5,7,1)</f>
        <v>46204</v>
      </c>
      <c r="Z22" s="29">
        <f>DATE(S$5,8,1)</f>
        <v>46235</v>
      </c>
      <c r="AA22" s="29">
        <f>DATE(S$5,9,1)</f>
        <v>46266</v>
      </c>
      <c r="AB22" s="29">
        <f>DATE(S$5,10,1)</f>
        <v>46296</v>
      </c>
      <c r="AC22" s="29">
        <f>DATE(S$5,11,1)</f>
        <v>46327</v>
      </c>
      <c r="AD22" s="29">
        <f>DATE(S$5,12,1)</f>
        <v>46357</v>
      </c>
      <c r="AE22" s="30">
        <f>S$5</f>
        <v>2026</v>
      </c>
      <c r="AG22" s="29">
        <f t="shared" ref="AG22" si="119">DATE(AG$5,1,1)</f>
        <v>46388</v>
      </c>
      <c r="AH22" s="29">
        <f t="shared" ref="AH22" si="120">DATE(AG$5,2,1)</f>
        <v>46419</v>
      </c>
      <c r="AI22" s="29">
        <f t="shared" ref="AI22" si="121">DATE(AG$5,3,1)</f>
        <v>46447</v>
      </c>
      <c r="AJ22" s="29">
        <f t="shared" ref="AJ22" si="122">DATE(AG$5,4,1)</f>
        <v>46478</v>
      </c>
      <c r="AK22" s="29">
        <f t="shared" ref="AK22" si="123">DATE(AG$5,5,1)</f>
        <v>46508</v>
      </c>
      <c r="AL22" s="29">
        <f t="shared" ref="AL22" si="124">DATE(AG$5,6,1)</f>
        <v>46539</v>
      </c>
      <c r="AM22" s="29">
        <f t="shared" ref="AM22" si="125">DATE(AG$5,7,1)</f>
        <v>46569</v>
      </c>
      <c r="AN22" s="29">
        <f t="shared" ref="AN22" si="126">DATE(AG$5,8,1)</f>
        <v>46600</v>
      </c>
      <c r="AO22" s="29">
        <f t="shared" ref="AO22" si="127">DATE(AG$5,9,1)</f>
        <v>46631</v>
      </c>
      <c r="AP22" s="29">
        <f t="shared" ref="AP22" si="128">DATE(AG$5,10,1)</f>
        <v>46661</v>
      </c>
      <c r="AQ22" s="29">
        <f t="shared" ref="AQ22" si="129">DATE(AG$5,11,1)</f>
        <v>46692</v>
      </c>
      <c r="AR22" s="29">
        <f t="shared" ref="AR22" si="130">DATE(AG$5,12,1)</f>
        <v>46722</v>
      </c>
      <c r="AS22" s="30">
        <f t="shared" ref="AS22" si="131">AG$5</f>
        <v>2027</v>
      </c>
      <c r="AU22" s="29">
        <f t="shared" ref="AU22:BI22" si="132">DATE(AU$5,1,1)</f>
        <v>46753</v>
      </c>
      <c r="AV22" s="29">
        <f t="shared" ref="AV22" si="133">DATE(AU$5,2,1)</f>
        <v>46784</v>
      </c>
      <c r="AW22" s="29">
        <f t="shared" ref="AW22" si="134">DATE(AU$5,3,1)</f>
        <v>46813</v>
      </c>
      <c r="AX22" s="29">
        <f t="shared" ref="AX22" si="135">DATE(AU$5,4,1)</f>
        <v>46844</v>
      </c>
      <c r="AY22" s="29">
        <f t="shared" ref="AY22" si="136">DATE(AU$5,5,1)</f>
        <v>46874</v>
      </c>
      <c r="AZ22" s="29">
        <f t="shared" ref="AZ22" si="137">DATE(AU$5,6,1)</f>
        <v>46905</v>
      </c>
      <c r="BA22" s="29">
        <f t="shared" ref="BA22" si="138">DATE(AU$5,7,1)</f>
        <v>46935</v>
      </c>
      <c r="BB22" s="29">
        <f t="shared" ref="BB22" si="139">DATE(AU$5,8,1)</f>
        <v>46966</v>
      </c>
      <c r="BC22" s="29">
        <f t="shared" ref="BC22" si="140">DATE(AU$5,9,1)</f>
        <v>46997</v>
      </c>
      <c r="BD22" s="29">
        <f t="shared" ref="BD22" si="141">DATE(AU$5,10,1)</f>
        <v>47027</v>
      </c>
      <c r="BE22" s="29">
        <f t="shared" ref="BE22" si="142">DATE(AU$5,11,1)</f>
        <v>47058</v>
      </c>
      <c r="BF22" s="29">
        <f t="shared" ref="BF22" si="143">DATE(AU$5,12,1)</f>
        <v>47088</v>
      </c>
      <c r="BG22" s="30">
        <f t="shared" ref="BG22" si="144">AU$5</f>
        <v>2028</v>
      </c>
      <c r="BI22" s="29">
        <f t="shared" si="132"/>
        <v>47119</v>
      </c>
      <c r="BJ22" s="29">
        <f t="shared" ref="BJ22" si="145">DATE(BI$5,2,1)</f>
        <v>47150</v>
      </c>
      <c r="BK22" s="29">
        <f t="shared" ref="BK22" si="146">DATE(BI$5,3,1)</f>
        <v>47178</v>
      </c>
      <c r="BL22" s="29">
        <f t="shared" ref="BL22" si="147">DATE(BI$5,4,1)</f>
        <v>47209</v>
      </c>
      <c r="BM22" s="29">
        <f t="shared" ref="BM22" si="148">DATE(BI$5,5,1)</f>
        <v>47239</v>
      </c>
      <c r="BN22" s="29">
        <f t="shared" ref="BN22" si="149">DATE(BI$5,6,1)</f>
        <v>47270</v>
      </c>
      <c r="BO22" s="29">
        <f t="shared" ref="BO22" si="150">DATE(BI$5,7,1)</f>
        <v>47300</v>
      </c>
      <c r="BP22" s="29">
        <f t="shared" ref="BP22" si="151">DATE(BI$5,8,1)</f>
        <v>47331</v>
      </c>
      <c r="BQ22" s="29">
        <f t="shared" ref="BQ22" si="152">DATE(BI$5,9,1)</f>
        <v>47362</v>
      </c>
      <c r="BR22" s="29">
        <f t="shared" ref="BR22" si="153">DATE(BI$5,10,1)</f>
        <v>47392</v>
      </c>
      <c r="BS22" s="29">
        <f t="shared" ref="BS22" si="154">DATE(BI$5,11,1)</f>
        <v>47423</v>
      </c>
      <c r="BT22" s="29">
        <f t="shared" ref="BT22" si="155">DATE(BI$5,12,1)</f>
        <v>47453</v>
      </c>
      <c r="BU22" s="30">
        <f t="shared" ref="BU22" si="156">BI$5</f>
        <v>2029</v>
      </c>
      <c r="BW22" s="29">
        <f t="shared" ref="BW22" si="157">DATE(BW$5,1,1)</f>
        <v>47484</v>
      </c>
      <c r="BX22" s="29">
        <f t="shared" ref="BX22" si="158">DATE(BW$5,2,1)</f>
        <v>47515</v>
      </c>
      <c r="BY22" s="29">
        <f t="shared" ref="BY22" si="159">DATE(BW$5,3,1)</f>
        <v>47543</v>
      </c>
      <c r="BZ22" s="29">
        <f t="shared" ref="BZ22" si="160">DATE(BW$5,4,1)</f>
        <v>47574</v>
      </c>
      <c r="CA22" s="29">
        <f t="shared" ref="CA22" si="161">DATE(BW$5,5,1)</f>
        <v>47604</v>
      </c>
      <c r="CB22" s="29">
        <f t="shared" ref="CB22" si="162">DATE(BW$5,6,1)</f>
        <v>47635</v>
      </c>
      <c r="CC22" s="29">
        <f t="shared" ref="CC22" si="163">DATE(BW$5,7,1)</f>
        <v>47665</v>
      </c>
      <c r="CD22" s="29">
        <f t="shared" ref="CD22" si="164">DATE(BW$5,8,1)</f>
        <v>47696</v>
      </c>
      <c r="CE22" s="29">
        <f t="shared" ref="CE22" si="165">DATE(BW$5,9,1)</f>
        <v>47727</v>
      </c>
      <c r="CF22" s="29">
        <f t="shared" ref="CF22" si="166">DATE(BW$5,10,1)</f>
        <v>47757</v>
      </c>
      <c r="CG22" s="29">
        <f t="shared" ref="CG22" si="167">DATE(BW$5,11,1)</f>
        <v>47788</v>
      </c>
      <c r="CH22" s="29">
        <f t="shared" ref="CH22" si="168">DATE(BW$5,12,1)</f>
        <v>47818</v>
      </c>
      <c r="CI22" s="30">
        <f t="shared" ref="CI22" si="169">BW$5</f>
        <v>2030</v>
      </c>
    </row>
    <row r="23" spans="3:87" x14ac:dyDescent="0.3">
      <c r="C23" s="25" t="s">
        <v>11</v>
      </c>
      <c r="E23" s="26">
        <v>60</v>
      </c>
      <c r="F23" s="26">
        <v>60</v>
      </c>
      <c r="G23" s="26">
        <v>60</v>
      </c>
      <c r="H23" s="26">
        <v>60</v>
      </c>
      <c r="I23" s="26">
        <v>0</v>
      </c>
      <c r="J23" s="26">
        <v>0</v>
      </c>
      <c r="K23" s="26">
        <v>60</v>
      </c>
      <c r="L23" s="26">
        <v>60</v>
      </c>
      <c r="M23" s="26">
        <v>60</v>
      </c>
      <c r="N23" s="26">
        <v>60</v>
      </c>
      <c r="O23" s="26">
        <v>60</v>
      </c>
      <c r="P23" s="26">
        <v>60</v>
      </c>
      <c r="Q23" s="28">
        <f>SUM(E23:P23)</f>
        <v>600</v>
      </c>
      <c r="S23" s="26"/>
      <c r="T23" s="26"/>
      <c r="U23" s="26"/>
      <c r="V23" s="26"/>
      <c r="W23" s="26"/>
      <c r="X23" s="26"/>
      <c r="Y23" s="26"/>
      <c r="Z23" s="26"/>
      <c r="AA23" s="26"/>
      <c r="AB23" s="26"/>
      <c r="AC23" s="26"/>
      <c r="AD23" s="26"/>
      <c r="AE23" s="28">
        <f>SUM(S23:AD23)</f>
        <v>0</v>
      </c>
      <c r="AG23" s="26"/>
      <c r="AH23" s="26"/>
      <c r="AI23" s="26"/>
      <c r="AJ23" s="26"/>
      <c r="AK23" s="26"/>
      <c r="AL23" s="26"/>
      <c r="AM23" s="26"/>
      <c r="AN23" s="26"/>
      <c r="AO23" s="26"/>
      <c r="AP23" s="26"/>
      <c r="AQ23" s="26"/>
      <c r="AR23" s="26"/>
      <c r="AS23" s="28">
        <f t="shared" ref="AS23" si="170">SUM(AG23:AR23)</f>
        <v>0</v>
      </c>
      <c r="AU23" s="26"/>
      <c r="AV23" s="26"/>
      <c r="AW23" s="26"/>
      <c r="AX23" s="26"/>
      <c r="AY23" s="26"/>
      <c r="AZ23" s="26"/>
      <c r="BA23" s="26"/>
      <c r="BB23" s="26"/>
      <c r="BC23" s="26"/>
      <c r="BD23" s="26"/>
      <c r="BE23" s="26"/>
      <c r="BF23" s="26"/>
      <c r="BG23" s="28">
        <f t="shared" ref="BG23" si="171">SUM(AU23:BF23)</f>
        <v>0</v>
      </c>
      <c r="BI23" s="26"/>
      <c r="BJ23" s="26"/>
      <c r="BK23" s="26"/>
      <c r="BL23" s="26"/>
      <c r="BM23" s="26"/>
      <c r="BN23" s="26"/>
      <c r="BO23" s="26"/>
      <c r="BP23" s="26"/>
      <c r="BQ23" s="26"/>
      <c r="BR23" s="26"/>
      <c r="BS23" s="26"/>
      <c r="BT23" s="26"/>
      <c r="BU23" s="28">
        <f t="shared" ref="BU23" si="172">SUM(BI23:BT23)</f>
        <v>0</v>
      </c>
      <c r="BW23" s="26"/>
      <c r="BX23" s="26"/>
      <c r="BY23" s="26"/>
      <c r="BZ23" s="26"/>
      <c r="CA23" s="26"/>
      <c r="CB23" s="26"/>
      <c r="CC23" s="26"/>
      <c r="CD23" s="26"/>
      <c r="CE23" s="26"/>
      <c r="CF23" s="26"/>
      <c r="CG23" s="26"/>
      <c r="CH23" s="26"/>
      <c r="CI23" s="28">
        <f t="shared" ref="CI23" si="173">SUM(BW23:CH23)</f>
        <v>0</v>
      </c>
    </row>
    <row r="24" spans="3:87" x14ac:dyDescent="0.3">
      <c r="C24" s="25" t="s">
        <v>10</v>
      </c>
      <c r="E24" s="26">
        <v>200</v>
      </c>
      <c r="F24" s="26">
        <v>200</v>
      </c>
      <c r="G24" s="26">
        <v>200</v>
      </c>
      <c r="H24" s="26">
        <v>200</v>
      </c>
      <c r="I24" s="26">
        <v>116</v>
      </c>
      <c r="J24" s="26">
        <v>145</v>
      </c>
      <c r="K24" s="26">
        <v>200</v>
      </c>
      <c r="L24" s="26">
        <v>200</v>
      </c>
      <c r="M24" s="26">
        <v>350</v>
      </c>
      <c r="N24" s="26">
        <v>200</v>
      </c>
      <c r="O24" s="26">
        <v>200</v>
      </c>
      <c r="P24" s="26">
        <v>200</v>
      </c>
      <c r="Q24" s="28">
        <f t="shared" ref="Q24:Q32" si="174">SUM(E24:P24)</f>
        <v>2411</v>
      </c>
      <c r="S24" s="26">
        <v>300</v>
      </c>
      <c r="T24" s="26">
        <v>300</v>
      </c>
      <c r="U24" s="26">
        <v>300</v>
      </c>
      <c r="V24" s="26">
        <v>300</v>
      </c>
      <c r="W24" s="26">
        <v>300</v>
      </c>
      <c r="X24" s="26">
        <v>300</v>
      </c>
      <c r="Y24" s="26">
        <v>300</v>
      </c>
      <c r="Z24" s="26">
        <v>300</v>
      </c>
      <c r="AA24" s="26">
        <v>300</v>
      </c>
      <c r="AB24" s="26">
        <v>300</v>
      </c>
      <c r="AC24" s="26">
        <v>300</v>
      </c>
      <c r="AD24" s="26">
        <v>300</v>
      </c>
      <c r="AE24" s="28">
        <f t="shared" ref="AE24:AE32" si="175">SUM(S24:AD24)</f>
        <v>3600</v>
      </c>
      <c r="AG24" s="26"/>
      <c r="AH24" s="26"/>
      <c r="AI24" s="26"/>
      <c r="AJ24" s="26"/>
      <c r="AK24" s="26"/>
      <c r="AL24" s="26"/>
      <c r="AM24" s="26"/>
      <c r="AN24" s="26"/>
      <c r="AO24" s="26"/>
      <c r="AP24" s="26"/>
      <c r="AQ24" s="26"/>
      <c r="AR24" s="26"/>
      <c r="AS24" s="28">
        <f t="shared" ref="AS24:AS32" si="176">SUM(AG24:AR24)</f>
        <v>0</v>
      </c>
      <c r="AU24" s="26"/>
      <c r="AV24" s="26"/>
      <c r="AW24" s="26"/>
      <c r="AX24" s="26"/>
      <c r="AY24" s="26"/>
      <c r="AZ24" s="26"/>
      <c r="BA24" s="26"/>
      <c r="BB24" s="26"/>
      <c r="BC24" s="26"/>
      <c r="BD24" s="26"/>
      <c r="BE24" s="26"/>
      <c r="BF24" s="26"/>
      <c r="BG24" s="28">
        <f t="shared" ref="BG24:BG32" si="177">SUM(AU24:BF24)</f>
        <v>0</v>
      </c>
      <c r="BI24" s="26"/>
      <c r="BJ24" s="26"/>
      <c r="BK24" s="26"/>
      <c r="BL24" s="26"/>
      <c r="BM24" s="26"/>
      <c r="BN24" s="26"/>
      <c r="BO24" s="26"/>
      <c r="BP24" s="26"/>
      <c r="BQ24" s="26"/>
      <c r="BR24" s="26"/>
      <c r="BS24" s="26"/>
      <c r="BT24" s="26"/>
      <c r="BU24" s="28">
        <f t="shared" ref="BU24:BU32" si="178">SUM(BI24:BT24)</f>
        <v>0</v>
      </c>
      <c r="BW24" s="26"/>
      <c r="BX24" s="26"/>
      <c r="BY24" s="26"/>
      <c r="BZ24" s="26"/>
      <c r="CA24" s="26"/>
      <c r="CB24" s="26"/>
      <c r="CC24" s="26"/>
      <c r="CD24" s="26"/>
      <c r="CE24" s="26"/>
      <c r="CF24" s="26"/>
      <c r="CG24" s="26"/>
      <c r="CH24" s="26"/>
      <c r="CI24" s="28">
        <f t="shared" ref="CI24:CI32" si="179">SUM(BW24:CH24)</f>
        <v>0</v>
      </c>
    </row>
    <row r="25" spans="3:87" x14ac:dyDescent="0.3">
      <c r="C25" s="25" t="s">
        <v>108</v>
      </c>
      <c r="E25" s="26">
        <v>100</v>
      </c>
      <c r="F25" s="26">
        <v>100</v>
      </c>
      <c r="G25" s="26">
        <v>100</v>
      </c>
      <c r="H25" s="26">
        <v>100</v>
      </c>
      <c r="I25" s="26">
        <v>200</v>
      </c>
      <c r="J25" s="26">
        <v>100</v>
      </c>
      <c r="K25" s="26">
        <v>100</v>
      </c>
      <c r="L25" s="26">
        <v>100</v>
      </c>
      <c r="M25" s="26">
        <v>100</v>
      </c>
      <c r="N25" s="26">
        <v>100</v>
      </c>
      <c r="O25" s="26">
        <v>100</v>
      </c>
      <c r="P25" s="26">
        <v>100</v>
      </c>
      <c r="Q25" s="28">
        <f t="shared" si="174"/>
        <v>1300</v>
      </c>
      <c r="S25" s="26">
        <v>200</v>
      </c>
      <c r="T25" s="26">
        <v>200</v>
      </c>
      <c r="U25" s="26">
        <v>200</v>
      </c>
      <c r="V25" s="26">
        <v>200</v>
      </c>
      <c r="W25" s="26">
        <v>400</v>
      </c>
      <c r="X25" s="26">
        <v>200</v>
      </c>
      <c r="Y25" s="26">
        <v>200</v>
      </c>
      <c r="Z25" s="26">
        <v>200</v>
      </c>
      <c r="AA25" s="26">
        <v>200</v>
      </c>
      <c r="AB25" s="26">
        <v>200</v>
      </c>
      <c r="AC25" s="26">
        <v>200</v>
      </c>
      <c r="AD25" s="26">
        <v>200</v>
      </c>
      <c r="AE25" s="28">
        <f t="shared" si="175"/>
        <v>2600</v>
      </c>
      <c r="AG25" s="26"/>
      <c r="AH25" s="26"/>
      <c r="AI25" s="26"/>
      <c r="AJ25" s="26"/>
      <c r="AK25" s="26"/>
      <c r="AL25" s="26"/>
      <c r="AM25" s="26"/>
      <c r="AN25" s="26"/>
      <c r="AO25" s="26"/>
      <c r="AP25" s="26"/>
      <c r="AQ25" s="26"/>
      <c r="AR25" s="26"/>
      <c r="AS25" s="28">
        <f t="shared" si="176"/>
        <v>0</v>
      </c>
      <c r="AU25" s="26"/>
      <c r="AV25" s="26"/>
      <c r="AW25" s="26"/>
      <c r="AX25" s="26"/>
      <c r="AY25" s="26"/>
      <c r="AZ25" s="26"/>
      <c r="BA25" s="26"/>
      <c r="BB25" s="26"/>
      <c r="BC25" s="26"/>
      <c r="BD25" s="26"/>
      <c r="BE25" s="26"/>
      <c r="BF25" s="26"/>
      <c r="BG25" s="28">
        <f t="shared" si="177"/>
        <v>0</v>
      </c>
      <c r="BI25" s="26"/>
      <c r="BJ25" s="26"/>
      <c r="BK25" s="26"/>
      <c r="BL25" s="26"/>
      <c r="BM25" s="26"/>
      <c r="BN25" s="26"/>
      <c r="BO25" s="26"/>
      <c r="BP25" s="26"/>
      <c r="BQ25" s="26"/>
      <c r="BR25" s="26"/>
      <c r="BS25" s="26"/>
      <c r="BT25" s="26"/>
      <c r="BU25" s="28">
        <f t="shared" si="178"/>
        <v>0</v>
      </c>
      <c r="BW25" s="26"/>
      <c r="BX25" s="26"/>
      <c r="BY25" s="26"/>
      <c r="BZ25" s="26"/>
      <c r="CA25" s="26"/>
      <c r="CB25" s="26"/>
      <c r="CC25" s="26"/>
      <c r="CD25" s="26"/>
      <c r="CE25" s="26"/>
      <c r="CF25" s="26"/>
      <c r="CG25" s="26"/>
      <c r="CH25" s="26"/>
      <c r="CI25" s="28">
        <f t="shared" si="179"/>
        <v>0</v>
      </c>
    </row>
    <row r="26" spans="3:87" x14ac:dyDescent="0.3">
      <c r="C26" s="25" t="s">
        <v>12</v>
      </c>
      <c r="E26" s="26">
        <v>20</v>
      </c>
      <c r="F26" s="26">
        <v>20</v>
      </c>
      <c r="G26" s="26">
        <v>20</v>
      </c>
      <c r="H26" s="26">
        <v>20</v>
      </c>
      <c r="I26" s="26">
        <v>20</v>
      </c>
      <c r="J26" s="26">
        <v>20</v>
      </c>
      <c r="K26" s="26">
        <v>20</v>
      </c>
      <c r="L26" s="26">
        <v>250</v>
      </c>
      <c r="M26" s="26">
        <v>100</v>
      </c>
      <c r="N26" s="26">
        <v>250</v>
      </c>
      <c r="O26" s="26">
        <v>250</v>
      </c>
      <c r="P26" s="26">
        <v>250</v>
      </c>
      <c r="Q26" s="28">
        <f t="shared" si="174"/>
        <v>1240</v>
      </c>
      <c r="S26" s="26">
        <v>15</v>
      </c>
      <c r="T26" s="26">
        <v>15</v>
      </c>
      <c r="U26" s="26">
        <v>15</v>
      </c>
      <c r="V26" s="26">
        <v>15</v>
      </c>
      <c r="W26" s="26">
        <v>15</v>
      </c>
      <c r="X26" s="26">
        <v>15</v>
      </c>
      <c r="Y26" s="26">
        <v>15</v>
      </c>
      <c r="Z26" s="26">
        <v>15</v>
      </c>
      <c r="AA26" s="26">
        <v>15</v>
      </c>
      <c r="AB26" s="26">
        <v>15</v>
      </c>
      <c r="AC26" s="26">
        <v>15</v>
      </c>
      <c r="AD26" s="26">
        <v>15</v>
      </c>
      <c r="AE26" s="28">
        <f t="shared" si="175"/>
        <v>180</v>
      </c>
      <c r="AG26" s="26"/>
      <c r="AH26" s="26"/>
      <c r="AI26" s="26"/>
      <c r="AJ26" s="26"/>
      <c r="AK26" s="26"/>
      <c r="AL26" s="26"/>
      <c r="AM26" s="26"/>
      <c r="AN26" s="26"/>
      <c r="AO26" s="26"/>
      <c r="AP26" s="26"/>
      <c r="AQ26" s="26"/>
      <c r="AR26" s="26"/>
      <c r="AS26" s="28">
        <f t="shared" si="176"/>
        <v>0</v>
      </c>
      <c r="AU26" s="26"/>
      <c r="AV26" s="26"/>
      <c r="AW26" s="26"/>
      <c r="AX26" s="26"/>
      <c r="AY26" s="26"/>
      <c r="AZ26" s="26"/>
      <c r="BA26" s="26"/>
      <c r="BB26" s="26"/>
      <c r="BC26" s="26"/>
      <c r="BD26" s="26"/>
      <c r="BE26" s="26"/>
      <c r="BF26" s="26"/>
      <c r="BG26" s="28">
        <f t="shared" si="177"/>
        <v>0</v>
      </c>
      <c r="BI26" s="26"/>
      <c r="BJ26" s="26"/>
      <c r="BK26" s="26"/>
      <c r="BL26" s="26"/>
      <c r="BM26" s="26"/>
      <c r="BN26" s="26"/>
      <c r="BO26" s="26"/>
      <c r="BP26" s="26"/>
      <c r="BQ26" s="26"/>
      <c r="BR26" s="26"/>
      <c r="BS26" s="26"/>
      <c r="BT26" s="26"/>
      <c r="BU26" s="28">
        <f t="shared" si="178"/>
        <v>0</v>
      </c>
      <c r="BW26" s="26"/>
      <c r="BX26" s="26"/>
      <c r="BY26" s="26"/>
      <c r="BZ26" s="26"/>
      <c r="CA26" s="26"/>
      <c r="CB26" s="26"/>
      <c r="CC26" s="26"/>
      <c r="CD26" s="26"/>
      <c r="CE26" s="26"/>
      <c r="CF26" s="26"/>
      <c r="CG26" s="26"/>
      <c r="CH26" s="26"/>
      <c r="CI26" s="28">
        <f t="shared" si="179"/>
        <v>0</v>
      </c>
    </row>
    <row r="27" spans="3:87" x14ac:dyDescent="0.3">
      <c r="C27" s="25" t="s">
        <v>111</v>
      </c>
      <c r="E27" s="26">
        <v>15</v>
      </c>
      <c r="F27" s="26">
        <v>15</v>
      </c>
      <c r="G27" s="26">
        <v>15</v>
      </c>
      <c r="H27" s="26">
        <v>15</v>
      </c>
      <c r="I27" s="26">
        <v>15</v>
      </c>
      <c r="J27" s="26">
        <v>15</v>
      </c>
      <c r="K27" s="26">
        <v>15</v>
      </c>
      <c r="L27" s="26">
        <v>200</v>
      </c>
      <c r="M27" s="26">
        <v>100</v>
      </c>
      <c r="N27" s="26">
        <v>100</v>
      </c>
      <c r="O27" s="26">
        <v>100</v>
      </c>
      <c r="P27" s="26">
        <v>100</v>
      </c>
      <c r="Q27" s="28">
        <f t="shared" si="174"/>
        <v>705</v>
      </c>
      <c r="S27" s="26">
        <v>200</v>
      </c>
      <c r="T27" s="26">
        <v>200</v>
      </c>
      <c r="U27" s="26">
        <v>200</v>
      </c>
      <c r="V27" s="26">
        <v>200</v>
      </c>
      <c r="W27" s="26">
        <v>200</v>
      </c>
      <c r="X27" s="26">
        <v>200</v>
      </c>
      <c r="Y27" s="26">
        <v>200</v>
      </c>
      <c r="Z27" s="26">
        <v>200</v>
      </c>
      <c r="AA27" s="26">
        <v>200</v>
      </c>
      <c r="AB27" s="26">
        <v>200</v>
      </c>
      <c r="AC27" s="26">
        <v>200</v>
      </c>
      <c r="AD27" s="26">
        <v>200</v>
      </c>
      <c r="AE27" s="28">
        <f t="shared" si="175"/>
        <v>2400</v>
      </c>
      <c r="AG27" s="26"/>
      <c r="AH27" s="26"/>
      <c r="AI27" s="26"/>
      <c r="AJ27" s="26"/>
      <c r="AK27" s="26"/>
      <c r="AL27" s="26"/>
      <c r="AM27" s="26"/>
      <c r="AN27" s="26"/>
      <c r="AO27" s="26"/>
      <c r="AP27" s="26"/>
      <c r="AQ27" s="26"/>
      <c r="AR27" s="26"/>
      <c r="AS27" s="28">
        <f t="shared" si="176"/>
        <v>0</v>
      </c>
      <c r="AU27" s="26"/>
      <c r="AV27" s="26"/>
      <c r="AW27" s="26"/>
      <c r="AX27" s="26"/>
      <c r="AY27" s="26"/>
      <c r="AZ27" s="26"/>
      <c r="BA27" s="26"/>
      <c r="BB27" s="26"/>
      <c r="BC27" s="26"/>
      <c r="BD27" s="26"/>
      <c r="BE27" s="26"/>
      <c r="BF27" s="26"/>
      <c r="BG27" s="28">
        <f t="shared" si="177"/>
        <v>0</v>
      </c>
      <c r="BI27" s="26"/>
      <c r="BJ27" s="26"/>
      <c r="BK27" s="26"/>
      <c r="BL27" s="26"/>
      <c r="BM27" s="26"/>
      <c r="BN27" s="26"/>
      <c r="BO27" s="26"/>
      <c r="BP27" s="26"/>
      <c r="BQ27" s="26"/>
      <c r="BR27" s="26"/>
      <c r="BS27" s="26"/>
      <c r="BT27" s="26"/>
      <c r="BU27" s="28">
        <f t="shared" si="178"/>
        <v>0</v>
      </c>
      <c r="BW27" s="26"/>
      <c r="BX27" s="26"/>
      <c r="BY27" s="26"/>
      <c r="BZ27" s="26"/>
      <c r="CA27" s="26"/>
      <c r="CB27" s="26"/>
      <c r="CC27" s="26"/>
      <c r="CD27" s="26"/>
      <c r="CE27" s="26"/>
      <c r="CF27" s="26"/>
      <c r="CG27" s="26"/>
      <c r="CH27" s="26"/>
      <c r="CI27" s="28">
        <f t="shared" si="179"/>
        <v>0</v>
      </c>
    </row>
    <row r="28" spans="3:87" x14ac:dyDescent="0.3">
      <c r="C28" s="25" t="s">
        <v>309</v>
      </c>
      <c r="E28" s="26"/>
      <c r="F28" s="26"/>
      <c r="G28" s="26"/>
      <c r="H28" s="26"/>
      <c r="I28" s="26"/>
      <c r="J28" s="26"/>
      <c r="K28" s="26"/>
      <c r="L28" s="26"/>
      <c r="M28" s="26"/>
      <c r="N28" s="26"/>
      <c r="O28" s="26"/>
      <c r="P28" s="26"/>
      <c r="Q28" s="28">
        <f t="shared" si="174"/>
        <v>0</v>
      </c>
      <c r="S28" s="26"/>
      <c r="T28" s="26"/>
      <c r="U28" s="26"/>
      <c r="V28" s="26"/>
      <c r="W28" s="26"/>
      <c r="X28" s="26"/>
      <c r="Y28" s="26"/>
      <c r="Z28" s="26"/>
      <c r="AA28" s="26"/>
      <c r="AB28" s="26"/>
      <c r="AC28" s="26"/>
      <c r="AD28" s="26"/>
      <c r="AE28" s="28">
        <f t="shared" si="175"/>
        <v>0</v>
      </c>
      <c r="AG28" s="26"/>
      <c r="AH28" s="26"/>
      <c r="AI28" s="26"/>
      <c r="AJ28" s="26"/>
      <c r="AK28" s="26"/>
      <c r="AL28" s="26"/>
      <c r="AM28" s="26"/>
      <c r="AN28" s="26"/>
      <c r="AO28" s="26"/>
      <c r="AP28" s="26"/>
      <c r="AQ28" s="26"/>
      <c r="AR28" s="26"/>
      <c r="AS28" s="28">
        <f t="shared" si="176"/>
        <v>0</v>
      </c>
      <c r="AU28" s="26"/>
      <c r="AV28" s="26"/>
      <c r="AW28" s="26"/>
      <c r="AX28" s="26"/>
      <c r="AY28" s="26"/>
      <c r="AZ28" s="26"/>
      <c r="BA28" s="26"/>
      <c r="BB28" s="26"/>
      <c r="BC28" s="26"/>
      <c r="BD28" s="26"/>
      <c r="BE28" s="26"/>
      <c r="BF28" s="26"/>
      <c r="BG28" s="28">
        <f t="shared" si="177"/>
        <v>0</v>
      </c>
      <c r="BI28" s="26"/>
      <c r="BJ28" s="26"/>
      <c r="BK28" s="26"/>
      <c r="BL28" s="26"/>
      <c r="BM28" s="26"/>
      <c r="BN28" s="26"/>
      <c r="BO28" s="26"/>
      <c r="BP28" s="26"/>
      <c r="BQ28" s="26"/>
      <c r="BR28" s="26"/>
      <c r="BS28" s="26"/>
      <c r="BT28" s="26"/>
      <c r="BU28" s="28">
        <f t="shared" si="178"/>
        <v>0</v>
      </c>
      <c r="BW28" s="26"/>
      <c r="BX28" s="26"/>
      <c r="BY28" s="26"/>
      <c r="BZ28" s="26"/>
      <c r="CA28" s="26"/>
      <c r="CB28" s="26"/>
      <c r="CC28" s="26"/>
      <c r="CD28" s="26"/>
      <c r="CE28" s="26"/>
      <c r="CF28" s="26"/>
      <c r="CG28" s="26"/>
      <c r="CH28" s="26"/>
      <c r="CI28" s="28">
        <f t="shared" si="179"/>
        <v>0</v>
      </c>
    </row>
    <row r="29" spans="3:87" x14ac:dyDescent="0.3">
      <c r="C29" s="25" t="s">
        <v>404</v>
      </c>
      <c r="E29" s="26"/>
      <c r="F29" s="26"/>
      <c r="G29" s="26"/>
      <c r="H29" s="26"/>
      <c r="I29" s="26"/>
      <c r="J29" s="26">
        <v>50</v>
      </c>
      <c r="K29" s="26">
        <v>35</v>
      </c>
      <c r="L29" s="26">
        <v>185</v>
      </c>
      <c r="M29" s="26">
        <v>35</v>
      </c>
      <c r="N29" s="26">
        <v>35</v>
      </c>
      <c r="O29" s="26">
        <v>35</v>
      </c>
      <c r="P29" s="26">
        <v>35</v>
      </c>
      <c r="Q29" s="28">
        <f t="shared" si="174"/>
        <v>410</v>
      </c>
      <c r="S29" s="26">
        <v>150</v>
      </c>
      <c r="T29" s="26">
        <v>150</v>
      </c>
      <c r="U29" s="26">
        <v>150</v>
      </c>
      <c r="V29" s="26">
        <v>150</v>
      </c>
      <c r="W29" s="26">
        <v>150</v>
      </c>
      <c r="X29" s="26">
        <v>150</v>
      </c>
      <c r="Y29" s="26">
        <v>150</v>
      </c>
      <c r="Z29" s="26">
        <v>150</v>
      </c>
      <c r="AA29" s="26">
        <v>150</v>
      </c>
      <c r="AB29" s="26">
        <v>150</v>
      </c>
      <c r="AC29" s="26">
        <v>150</v>
      </c>
      <c r="AD29" s="26">
        <v>150</v>
      </c>
      <c r="AE29" s="28">
        <f t="shared" si="175"/>
        <v>1800</v>
      </c>
      <c r="AG29" s="26"/>
      <c r="AH29" s="26"/>
      <c r="AI29" s="26"/>
      <c r="AJ29" s="26"/>
      <c r="AK29" s="26"/>
      <c r="AL29" s="26"/>
      <c r="AM29" s="26"/>
      <c r="AN29" s="26"/>
      <c r="AO29" s="26"/>
      <c r="AP29" s="26"/>
      <c r="AQ29" s="26"/>
      <c r="AR29" s="26"/>
      <c r="AS29" s="28">
        <f t="shared" si="176"/>
        <v>0</v>
      </c>
      <c r="AU29" s="26"/>
      <c r="AV29" s="26"/>
      <c r="AW29" s="26"/>
      <c r="AX29" s="26"/>
      <c r="AY29" s="26"/>
      <c r="AZ29" s="26"/>
      <c r="BA29" s="26"/>
      <c r="BB29" s="26"/>
      <c r="BC29" s="26"/>
      <c r="BD29" s="26"/>
      <c r="BE29" s="26"/>
      <c r="BF29" s="26"/>
      <c r="BG29" s="28">
        <f t="shared" si="177"/>
        <v>0</v>
      </c>
      <c r="BI29" s="26"/>
      <c r="BJ29" s="26"/>
      <c r="BK29" s="26"/>
      <c r="BL29" s="26"/>
      <c r="BM29" s="26"/>
      <c r="BN29" s="26"/>
      <c r="BO29" s="26"/>
      <c r="BP29" s="26"/>
      <c r="BQ29" s="26"/>
      <c r="BR29" s="26"/>
      <c r="BS29" s="26"/>
      <c r="BT29" s="26"/>
      <c r="BU29" s="28">
        <f t="shared" si="178"/>
        <v>0</v>
      </c>
      <c r="BW29" s="26"/>
      <c r="BX29" s="26"/>
      <c r="BY29" s="26"/>
      <c r="BZ29" s="26"/>
      <c r="CA29" s="26"/>
      <c r="CB29" s="26"/>
      <c r="CC29" s="26"/>
      <c r="CD29" s="26"/>
      <c r="CE29" s="26"/>
      <c r="CF29" s="26"/>
      <c r="CG29" s="26"/>
      <c r="CH29" s="26"/>
      <c r="CI29" s="28">
        <f t="shared" si="179"/>
        <v>0</v>
      </c>
    </row>
    <row r="30" spans="3:87" x14ac:dyDescent="0.3">
      <c r="C30" s="25" t="s">
        <v>318</v>
      </c>
      <c r="E30" s="26"/>
      <c r="F30" s="26"/>
      <c r="G30" s="26"/>
      <c r="H30" s="26"/>
      <c r="I30" s="26"/>
      <c r="J30" s="26"/>
      <c r="K30" s="26"/>
      <c r="L30" s="26"/>
      <c r="M30" s="26"/>
      <c r="N30" s="26"/>
      <c r="O30" s="26"/>
      <c r="P30" s="26"/>
      <c r="Q30" s="28">
        <f t="shared" si="174"/>
        <v>0</v>
      </c>
      <c r="S30" s="26">
        <v>200</v>
      </c>
      <c r="T30" s="26">
        <v>200</v>
      </c>
      <c r="U30" s="26">
        <v>200</v>
      </c>
      <c r="V30" s="26">
        <v>200</v>
      </c>
      <c r="W30" s="26">
        <v>200</v>
      </c>
      <c r="X30" s="26">
        <v>200</v>
      </c>
      <c r="Y30" s="26">
        <v>200</v>
      </c>
      <c r="Z30" s="26">
        <v>200</v>
      </c>
      <c r="AA30" s="26">
        <v>200</v>
      </c>
      <c r="AB30" s="26">
        <v>200</v>
      </c>
      <c r="AC30" s="26">
        <v>200</v>
      </c>
      <c r="AD30" s="26">
        <v>200</v>
      </c>
      <c r="AE30" s="28">
        <f t="shared" si="175"/>
        <v>2400</v>
      </c>
      <c r="AG30" s="26"/>
      <c r="AH30" s="26"/>
      <c r="AI30" s="26"/>
      <c r="AJ30" s="26"/>
      <c r="AK30" s="26"/>
      <c r="AL30" s="26"/>
      <c r="AM30" s="26"/>
      <c r="AN30" s="26"/>
      <c r="AO30" s="26"/>
      <c r="AP30" s="26"/>
      <c r="AQ30" s="26"/>
      <c r="AR30" s="26"/>
      <c r="AS30" s="28">
        <f t="shared" si="176"/>
        <v>0</v>
      </c>
      <c r="AU30" s="26"/>
      <c r="AV30" s="26"/>
      <c r="AW30" s="26"/>
      <c r="AX30" s="26"/>
      <c r="AY30" s="26"/>
      <c r="AZ30" s="26"/>
      <c r="BA30" s="26"/>
      <c r="BB30" s="26"/>
      <c r="BC30" s="26"/>
      <c r="BD30" s="26"/>
      <c r="BE30" s="26"/>
      <c r="BF30" s="26"/>
      <c r="BG30" s="28">
        <f t="shared" si="177"/>
        <v>0</v>
      </c>
      <c r="BI30" s="26"/>
      <c r="BJ30" s="26"/>
      <c r="BK30" s="26"/>
      <c r="BL30" s="26"/>
      <c r="BM30" s="26"/>
      <c r="BN30" s="26"/>
      <c r="BO30" s="26"/>
      <c r="BP30" s="26"/>
      <c r="BQ30" s="26"/>
      <c r="BR30" s="26"/>
      <c r="BS30" s="26"/>
      <c r="BT30" s="26"/>
      <c r="BU30" s="28">
        <f t="shared" si="178"/>
        <v>0</v>
      </c>
      <c r="BW30" s="26"/>
      <c r="BX30" s="26"/>
      <c r="BY30" s="26"/>
      <c r="BZ30" s="26"/>
      <c r="CA30" s="26"/>
      <c r="CB30" s="26"/>
      <c r="CC30" s="26"/>
      <c r="CD30" s="26"/>
      <c r="CE30" s="26"/>
      <c r="CF30" s="26"/>
      <c r="CG30" s="26"/>
      <c r="CH30" s="26"/>
      <c r="CI30" s="28">
        <f t="shared" si="179"/>
        <v>0</v>
      </c>
    </row>
    <row r="31" spans="3:87" x14ac:dyDescent="0.3">
      <c r="C31" s="25" t="s">
        <v>319</v>
      </c>
      <c r="E31" s="26"/>
      <c r="F31" s="26"/>
      <c r="G31" s="26"/>
      <c r="H31" s="26"/>
      <c r="I31" s="26"/>
      <c r="J31" s="26"/>
      <c r="K31" s="26"/>
      <c r="L31" s="26"/>
      <c r="M31" s="26"/>
      <c r="N31" s="26"/>
      <c r="O31" s="26"/>
      <c r="P31" s="26"/>
      <c r="Q31" s="28">
        <f t="shared" si="174"/>
        <v>0</v>
      </c>
      <c r="S31" s="26"/>
      <c r="T31" s="26">
        <v>3500</v>
      </c>
      <c r="U31" s="26"/>
      <c r="V31" s="26"/>
      <c r="W31" s="26"/>
      <c r="X31" s="26"/>
      <c r="Y31" s="26"/>
      <c r="Z31" s="26"/>
      <c r="AA31" s="26"/>
      <c r="AB31" s="26"/>
      <c r="AC31" s="26"/>
      <c r="AD31" s="26"/>
      <c r="AE31" s="28">
        <f t="shared" si="175"/>
        <v>3500</v>
      </c>
      <c r="AG31" s="26"/>
      <c r="AH31" s="26"/>
      <c r="AI31" s="26"/>
      <c r="AJ31" s="26"/>
      <c r="AK31" s="26"/>
      <c r="AL31" s="26"/>
      <c r="AM31" s="26"/>
      <c r="AN31" s="26"/>
      <c r="AO31" s="26"/>
      <c r="AP31" s="26"/>
      <c r="AQ31" s="26"/>
      <c r="AR31" s="26"/>
      <c r="AS31" s="28">
        <f t="shared" si="176"/>
        <v>0</v>
      </c>
      <c r="AU31" s="26"/>
      <c r="AV31" s="26"/>
      <c r="AW31" s="26"/>
      <c r="AX31" s="26"/>
      <c r="AY31" s="26"/>
      <c r="AZ31" s="26"/>
      <c r="BA31" s="26"/>
      <c r="BB31" s="26"/>
      <c r="BC31" s="26"/>
      <c r="BD31" s="26"/>
      <c r="BE31" s="26"/>
      <c r="BF31" s="26"/>
      <c r="BG31" s="28">
        <f t="shared" si="177"/>
        <v>0</v>
      </c>
      <c r="BI31" s="26"/>
      <c r="BJ31" s="26"/>
      <c r="BK31" s="26"/>
      <c r="BL31" s="26"/>
      <c r="BM31" s="26"/>
      <c r="BN31" s="26"/>
      <c r="BO31" s="26"/>
      <c r="BP31" s="26"/>
      <c r="BQ31" s="26"/>
      <c r="BR31" s="26"/>
      <c r="BS31" s="26"/>
      <c r="BT31" s="26"/>
      <c r="BU31" s="28">
        <f t="shared" si="178"/>
        <v>0</v>
      </c>
      <c r="BW31" s="26"/>
      <c r="BX31" s="26"/>
      <c r="BY31" s="26"/>
      <c r="BZ31" s="26"/>
      <c r="CA31" s="26"/>
      <c r="CB31" s="26"/>
      <c r="CC31" s="26"/>
      <c r="CD31" s="26"/>
      <c r="CE31" s="26"/>
      <c r="CF31" s="26"/>
      <c r="CG31" s="26"/>
      <c r="CH31" s="26"/>
      <c r="CI31" s="28">
        <f t="shared" si="179"/>
        <v>0</v>
      </c>
    </row>
    <row r="32" spans="3:87" x14ac:dyDescent="0.3">
      <c r="C32" s="25" t="s">
        <v>13</v>
      </c>
      <c r="E32" s="26"/>
      <c r="F32" s="26"/>
      <c r="G32" s="26"/>
      <c r="H32" s="26"/>
      <c r="I32" s="26"/>
      <c r="J32" s="26"/>
      <c r="K32" s="26"/>
      <c r="L32" s="26"/>
      <c r="M32" s="26"/>
      <c r="N32" s="26"/>
      <c r="O32" s="26"/>
      <c r="P32" s="26"/>
      <c r="Q32" s="28">
        <f t="shared" si="174"/>
        <v>0</v>
      </c>
      <c r="S32" s="26"/>
      <c r="T32" s="26"/>
      <c r="U32" s="26"/>
      <c r="V32" s="26"/>
      <c r="W32" s="26"/>
      <c r="X32" s="26"/>
      <c r="Y32" s="26"/>
      <c r="Z32" s="26"/>
      <c r="AA32" s="26"/>
      <c r="AB32" s="26"/>
      <c r="AC32" s="26"/>
      <c r="AD32" s="26"/>
      <c r="AE32" s="28">
        <f t="shared" si="175"/>
        <v>0</v>
      </c>
      <c r="AG32" s="26"/>
      <c r="AH32" s="26"/>
      <c r="AI32" s="26"/>
      <c r="AJ32" s="26"/>
      <c r="AK32" s="26"/>
      <c r="AL32" s="26"/>
      <c r="AM32" s="26"/>
      <c r="AN32" s="26"/>
      <c r="AO32" s="26"/>
      <c r="AP32" s="26"/>
      <c r="AQ32" s="26"/>
      <c r="AR32" s="26"/>
      <c r="AS32" s="28">
        <f t="shared" si="176"/>
        <v>0</v>
      </c>
      <c r="AU32" s="26"/>
      <c r="AV32" s="26"/>
      <c r="AW32" s="26"/>
      <c r="AX32" s="26"/>
      <c r="AY32" s="26"/>
      <c r="AZ32" s="26"/>
      <c r="BA32" s="26"/>
      <c r="BB32" s="26"/>
      <c r="BC32" s="26"/>
      <c r="BD32" s="26"/>
      <c r="BE32" s="26"/>
      <c r="BF32" s="26"/>
      <c r="BG32" s="28">
        <f t="shared" si="177"/>
        <v>0</v>
      </c>
      <c r="BI32" s="26"/>
      <c r="BJ32" s="26"/>
      <c r="BK32" s="26"/>
      <c r="BL32" s="26"/>
      <c r="BM32" s="26"/>
      <c r="BN32" s="26"/>
      <c r="BO32" s="26"/>
      <c r="BP32" s="26"/>
      <c r="BQ32" s="26"/>
      <c r="BR32" s="26"/>
      <c r="BS32" s="26"/>
      <c r="BT32" s="26"/>
      <c r="BU32" s="28">
        <f t="shared" si="178"/>
        <v>0</v>
      </c>
      <c r="BW32" s="26"/>
      <c r="BX32" s="26"/>
      <c r="BY32" s="26"/>
      <c r="BZ32" s="26"/>
      <c r="CA32" s="26"/>
      <c r="CB32" s="26"/>
      <c r="CC32" s="26"/>
      <c r="CD32" s="26"/>
      <c r="CE32" s="26"/>
      <c r="CF32" s="26"/>
      <c r="CG32" s="26"/>
      <c r="CH32" s="26"/>
      <c r="CI32" s="28">
        <f t="shared" si="179"/>
        <v>0</v>
      </c>
    </row>
    <row r="33" spans="3:87" x14ac:dyDescent="0.3">
      <c r="C33" s="22" t="s">
        <v>7</v>
      </c>
      <c r="E33" s="27" cm="1">
        <f t="array" aca="1" ref="E33" ca="1">SUM(INDIRECT(ADDRESS(expenses_min_row,COLUMN())&amp;":"&amp;ADDRESS(expenses_max_row,COLUMN())))</f>
        <v>395</v>
      </c>
      <c r="F33" s="27" cm="1">
        <f t="array" aca="1" ref="F33" ca="1">SUM(INDIRECT(ADDRESS(expenses_min_row,COLUMN())&amp;":"&amp;ADDRESS(expenses_max_row,COLUMN())))</f>
        <v>395</v>
      </c>
      <c r="G33" s="27" cm="1">
        <f t="array" aca="1" ref="G33" ca="1">SUM(INDIRECT(ADDRESS(expenses_min_row,COLUMN())&amp;":"&amp;ADDRESS(expenses_max_row,COLUMN())))</f>
        <v>395</v>
      </c>
      <c r="H33" s="27" cm="1">
        <f t="array" aca="1" ref="H33" ca="1">SUM(INDIRECT(ADDRESS(expenses_min_row,COLUMN())&amp;":"&amp;ADDRESS(expenses_max_row,COLUMN())))</f>
        <v>395</v>
      </c>
      <c r="I33" s="27" cm="1">
        <f t="array" aca="1" ref="I33" ca="1">SUM(INDIRECT(ADDRESS(expenses_min_row,COLUMN())&amp;":"&amp;ADDRESS(expenses_max_row,COLUMN())))</f>
        <v>351</v>
      </c>
      <c r="J33" s="27" cm="1">
        <f t="array" aca="1" ref="J33" ca="1">SUM(INDIRECT(ADDRESS(expenses_min_row,COLUMN())&amp;":"&amp;ADDRESS(expenses_max_row,COLUMN())))</f>
        <v>330</v>
      </c>
      <c r="K33" s="27" cm="1">
        <f t="array" aca="1" ref="K33" ca="1">SUM(INDIRECT(ADDRESS(expenses_min_row,COLUMN())&amp;":"&amp;ADDRESS(expenses_max_row,COLUMN())))</f>
        <v>430</v>
      </c>
      <c r="L33" s="27" cm="1">
        <f t="array" aca="1" ref="L33" ca="1">SUM(INDIRECT(ADDRESS(expenses_min_row,COLUMN())&amp;":"&amp;ADDRESS(expenses_max_row,COLUMN())))</f>
        <v>995</v>
      </c>
      <c r="M33" s="27" cm="1">
        <f t="array" aca="1" ref="M33" ca="1">SUM(INDIRECT(ADDRESS(expenses_min_row,COLUMN())&amp;":"&amp;ADDRESS(expenses_max_row,COLUMN())))</f>
        <v>745</v>
      </c>
      <c r="N33" s="27" cm="1">
        <f t="array" aca="1" ref="N33" ca="1">SUM(INDIRECT(ADDRESS(expenses_min_row,COLUMN())&amp;":"&amp;ADDRESS(expenses_max_row,COLUMN())))</f>
        <v>745</v>
      </c>
      <c r="O33" s="27" cm="1">
        <f t="array" aca="1" ref="O33" ca="1">SUM(INDIRECT(ADDRESS(expenses_min_row,COLUMN())&amp;":"&amp;ADDRESS(expenses_max_row,COLUMN())))</f>
        <v>745</v>
      </c>
      <c r="P33" s="27" cm="1">
        <f t="array" aca="1" ref="P33" ca="1">SUM(INDIRECT(ADDRESS(expenses_min_row,COLUMN())&amp;":"&amp;ADDRESS(expenses_max_row,COLUMN())))</f>
        <v>745</v>
      </c>
      <c r="Q33" s="27" cm="1">
        <f t="array" aca="1" ref="Q33" ca="1">SUM(INDIRECT(ADDRESS(expenses_min_row,COLUMN())&amp;":"&amp;ADDRESS(expenses_max_row,COLUMN())))</f>
        <v>6666</v>
      </c>
      <c r="S33" s="27" cm="1">
        <f t="array" aca="1" ref="S33" ca="1">SUM(INDIRECT(ADDRESS(expenses_min_row,COLUMN())&amp;":"&amp;ADDRESS(expenses_max_row,COLUMN())))</f>
        <v>1065</v>
      </c>
      <c r="T33" s="27" cm="1">
        <f t="array" aca="1" ref="T33" ca="1">SUM(INDIRECT(ADDRESS(expenses_min_row,COLUMN())&amp;":"&amp;ADDRESS(expenses_max_row,COLUMN())))</f>
        <v>4565</v>
      </c>
      <c r="U33" s="27" cm="1">
        <f t="array" aca="1" ref="U33" ca="1">SUM(INDIRECT(ADDRESS(expenses_min_row,COLUMN())&amp;":"&amp;ADDRESS(expenses_max_row,COLUMN())))</f>
        <v>1065</v>
      </c>
      <c r="V33" s="27" cm="1">
        <f t="array" aca="1" ref="V33" ca="1">SUM(INDIRECT(ADDRESS(expenses_min_row,COLUMN())&amp;":"&amp;ADDRESS(expenses_max_row,COLUMN())))</f>
        <v>1065</v>
      </c>
      <c r="W33" s="27" cm="1">
        <f t="array" aca="1" ref="W33" ca="1">SUM(INDIRECT(ADDRESS(expenses_min_row,COLUMN())&amp;":"&amp;ADDRESS(expenses_max_row,COLUMN())))</f>
        <v>1265</v>
      </c>
      <c r="X33" s="27" cm="1">
        <f t="array" aca="1" ref="X33" ca="1">SUM(INDIRECT(ADDRESS(expenses_min_row,COLUMN())&amp;":"&amp;ADDRESS(expenses_max_row,COLUMN())))</f>
        <v>1065</v>
      </c>
      <c r="Y33" s="27" cm="1">
        <f t="array" aca="1" ref="Y33" ca="1">SUM(INDIRECT(ADDRESS(expenses_min_row,COLUMN())&amp;":"&amp;ADDRESS(expenses_max_row,COLUMN())))</f>
        <v>1065</v>
      </c>
      <c r="Z33" s="27" cm="1">
        <f t="array" aca="1" ref="Z33" ca="1">SUM(INDIRECT(ADDRESS(expenses_min_row,COLUMN())&amp;":"&amp;ADDRESS(expenses_max_row,COLUMN())))</f>
        <v>1065</v>
      </c>
      <c r="AA33" s="27" cm="1">
        <f t="array" aca="1" ref="AA33" ca="1">SUM(INDIRECT(ADDRESS(expenses_min_row,COLUMN())&amp;":"&amp;ADDRESS(expenses_max_row,COLUMN())))</f>
        <v>1065</v>
      </c>
      <c r="AB33" s="27" cm="1">
        <f t="array" aca="1" ref="AB33" ca="1">SUM(INDIRECT(ADDRESS(expenses_min_row,COLUMN())&amp;":"&amp;ADDRESS(expenses_max_row,COLUMN())))</f>
        <v>1065</v>
      </c>
      <c r="AC33" s="27" cm="1">
        <f t="array" aca="1" ref="AC33" ca="1">SUM(INDIRECT(ADDRESS(expenses_min_row,COLUMN())&amp;":"&amp;ADDRESS(expenses_max_row,COLUMN())))</f>
        <v>1065</v>
      </c>
      <c r="AD33" s="27" cm="1">
        <f t="array" aca="1" ref="AD33" ca="1">SUM(INDIRECT(ADDRESS(expenses_min_row,COLUMN())&amp;":"&amp;ADDRESS(expenses_max_row,COLUMN())))</f>
        <v>1065</v>
      </c>
      <c r="AE33" s="27" cm="1">
        <f t="array" aca="1" ref="AE33" ca="1">SUM(INDIRECT(ADDRESS(expenses_min_row,COLUMN())&amp;":"&amp;ADDRESS(expenses_max_row,COLUMN())))</f>
        <v>16480</v>
      </c>
      <c r="AG33" s="27" cm="1">
        <f t="array" aca="1" ref="AG33" ca="1">SUM(INDIRECT(ADDRESS(expenses_min_row,COLUMN())&amp;":"&amp;ADDRESS(expenses_max_row,COLUMN())))</f>
        <v>0</v>
      </c>
      <c r="AH33" s="27" cm="1">
        <f t="array" aca="1" ref="AH33" ca="1">SUM(INDIRECT(ADDRESS(expenses_min_row,COLUMN())&amp;":"&amp;ADDRESS(expenses_max_row,COLUMN())))</f>
        <v>0</v>
      </c>
      <c r="AI33" s="27" cm="1">
        <f t="array" aca="1" ref="AI33" ca="1">SUM(INDIRECT(ADDRESS(expenses_min_row,COLUMN())&amp;":"&amp;ADDRESS(expenses_max_row,COLUMN())))</f>
        <v>0</v>
      </c>
      <c r="AJ33" s="27" cm="1">
        <f t="array" aca="1" ref="AJ33" ca="1">SUM(INDIRECT(ADDRESS(expenses_min_row,COLUMN())&amp;":"&amp;ADDRESS(expenses_max_row,COLUMN())))</f>
        <v>0</v>
      </c>
      <c r="AK33" s="27" cm="1">
        <f t="array" aca="1" ref="AK33" ca="1">SUM(INDIRECT(ADDRESS(expenses_min_row,COLUMN())&amp;":"&amp;ADDRESS(expenses_max_row,COLUMN())))</f>
        <v>0</v>
      </c>
      <c r="AL33" s="27" cm="1">
        <f t="array" aca="1" ref="AL33" ca="1">SUM(INDIRECT(ADDRESS(expenses_min_row,COLUMN())&amp;":"&amp;ADDRESS(expenses_max_row,COLUMN())))</f>
        <v>0</v>
      </c>
      <c r="AM33" s="27" cm="1">
        <f t="array" aca="1" ref="AM33" ca="1">SUM(INDIRECT(ADDRESS(expenses_min_row,COLUMN())&amp;":"&amp;ADDRESS(expenses_max_row,COLUMN())))</f>
        <v>0</v>
      </c>
      <c r="AN33" s="27" cm="1">
        <f t="array" aca="1" ref="AN33" ca="1">SUM(INDIRECT(ADDRESS(expenses_min_row,COLUMN())&amp;":"&amp;ADDRESS(expenses_max_row,COLUMN())))</f>
        <v>0</v>
      </c>
      <c r="AO33" s="27" cm="1">
        <f t="array" aca="1" ref="AO33" ca="1">SUM(INDIRECT(ADDRESS(expenses_min_row,COLUMN())&amp;":"&amp;ADDRESS(expenses_max_row,COLUMN())))</f>
        <v>0</v>
      </c>
      <c r="AP33" s="27" cm="1">
        <f t="array" aca="1" ref="AP33" ca="1">SUM(INDIRECT(ADDRESS(expenses_min_row,COLUMN())&amp;":"&amp;ADDRESS(expenses_max_row,COLUMN())))</f>
        <v>0</v>
      </c>
      <c r="AQ33" s="27" cm="1">
        <f t="array" aca="1" ref="AQ33" ca="1">SUM(INDIRECT(ADDRESS(expenses_min_row,COLUMN())&amp;":"&amp;ADDRESS(expenses_max_row,COLUMN())))</f>
        <v>0</v>
      </c>
      <c r="AR33" s="27" cm="1">
        <f t="array" aca="1" ref="AR33" ca="1">SUM(INDIRECT(ADDRESS(expenses_min_row,COLUMN())&amp;":"&amp;ADDRESS(expenses_max_row,COLUMN())))</f>
        <v>0</v>
      </c>
      <c r="AS33" s="27" cm="1">
        <f t="array" aca="1" ref="AS33" ca="1">SUM(INDIRECT(ADDRESS(expenses_min_row,COLUMN())&amp;":"&amp;ADDRESS(expenses_max_row,COLUMN())))</f>
        <v>0</v>
      </c>
      <c r="AU33" s="27" cm="1">
        <f t="array" aca="1" ref="AU33" ca="1">SUM(INDIRECT(ADDRESS(expenses_min_row,COLUMN())&amp;":"&amp;ADDRESS(expenses_max_row,COLUMN())))</f>
        <v>0</v>
      </c>
      <c r="AV33" s="27" cm="1">
        <f t="array" aca="1" ref="AV33" ca="1">SUM(INDIRECT(ADDRESS(expenses_min_row,COLUMN())&amp;":"&amp;ADDRESS(expenses_max_row,COLUMN())))</f>
        <v>0</v>
      </c>
      <c r="AW33" s="27" cm="1">
        <f t="array" aca="1" ref="AW33" ca="1">SUM(INDIRECT(ADDRESS(expenses_min_row,COLUMN())&amp;":"&amp;ADDRESS(expenses_max_row,COLUMN())))</f>
        <v>0</v>
      </c>
      <c r="AX33" s="27" cm="1">
        <f t="array" aca="1" ref="AX33" ca="1">SUM(INDIRECT(ADDRESS(expenses_min_row,COLUMN())&amp;":"&amp;ADDRESS(expenses_max_row,COLUMN())))</f>
        <v>0</v>
      </c>
      <c r="AY33" s="27" cm="1">
        <f t="array" aca="1" ref="AY33" ca="1">SUM(INDIRECT(ADDRESS(expenses_min_row,COLUMN())&amp;":"&amp;ADDRESS(expenses_max_row,COLUMN())))</f>
        <v>0</v>
      </c>
      <c r="AZ33" s="27" cm="1">
        <f t="array" aca="1" ref="AZ33" ca="1">SUM(INDIRECT(ADDRESS(expenses_min_row,COLUMN())&amp;":"&amp;ADDRESS(expenses_max_row,COLUMN())))</f>
        <v>0</v>
      </c>
      <c r="BA33" s="27" cm="1">
        <f t="array" aca="1" ref="BA33" ca="1">SUM(INDIRECT(ADDRESS(expenses_min_row,COLUMN())&amp;":"&amp;ADDRESS(expenses_max_row,COLUMN())))</f>
        <v>0</v>
      </c>
      <c r="BB33" s="27" cm="1">
        <f t="array" aca="1" ref="BB33" ca="1">SUM(INDIRECT(ADDRESS(expenses_min_row,COLUMN())&amp;":"&amp;ADDRESS(expenses_max_row,COLUMN())))</f>
        <v>0</v>
      </c>
      <c r="BC33" s="27" cm="1">
        <f t="array" aca="1" ref="BC33" ca="1">SUM(INDIRECT(ADDRESS(expenses_min_row,COLUMN())&amp;":"&amp;ADDRESS(expenses_max_row,COLUMN())))</f>
        <v>0</v>
      </c>
      <c r="BD33" s="27" cm="1">
        <f t="array" aca="1" ref="BD33" ca="1">SUM(INDIRECT(ADDRESS(expenses_min_row,COLUMN())&amp;":"&amp;ADDRESS(expenses_max_row,COLUMN())))</f>
        <v>0</v>
      </c>
      <c r="BE33" s="27" cm="1">
        <f t="array" aca="1" ref="BE33" ca="1">SUM(INDIRECT(ADDRESS(expenses_min_row,COLUMN())&amp;":"&amp;ADDRESS(expenses_max_row,COLUMN())))</f>
        <v>0</v>
      </c>
      <c r="BF33" s="27" cm="1">
        <f t="array" aca="1" ref="BF33" ca="1">SUM(INDIRECT(ADDRESS(expenses_min_row,COLUMN())&amp;":"&amp;ADDRESS(expenses_max_row,COLUMN())))</f>
        <v>0</v>
      </c>
      <c r="BG33" s="27" cm="1">
        <f t="array" aca="1" ref="BG33" ca="1">SUM(INDIRECT(ADDRESS(expenses_min_row,COLUMN())&amp;":"&amp;ADDRESS(expenses_max_row,COLUMN())))</f>
        <v>0</v>
      </c>
      <c r="BI33" s="27" cm="1">
        <f t="array" aca="1" ref="BI33" ca="1">SUM(INDIRECT(ADDRESS(expenses_min_row,COLUMN())&amp;":"&amp;ADDRESS(expenses_max_row,COLUMN())))</f>
        <v>0</v>
      </c>
      <c r="BJ33" s="27" cm="1">
        <f t="array" aca="1" ref="BJ33" ca="1">SUM(INDIRECT(ADDRESS(expenses_min_row,COLUMN())&amp;":"&amp;ADDRESS(expenses_max_row,COLUMN())))</f>
        <v>0</v>
      </c>
      <c r="BK33" s="27" cm="1">
        <f t="array" aca="1" ref="BK33" ca="1">SUM(INDIRECT(ADDRESS(expenses_min_row,COLUMN())&amp;":"&amp;ADDRESS(expenses_max_row,COLUMN())))</f>
        <v>0</v>
      </c>
      <c r="BL33" s="27" cm="1">
        <f t="array" aca="1" ref="BL33" ca="1">SUM(INDIRECT(ADDRESS(expenses_min_row,COLUMN())&amp;":"&amp;ADDRESS(expenses_max_row,COLUMN())))</f>
        <v>0</v>
      </c>
      <c r="BM33" s="27" cm="1">
        <f t="array" aca="1" ref="BM33" ca="1">SUM(INDIRECT(ADDRESS(expenses_min_row,COLUMN())&amp;":"&amp;ADDRESS(expenses_max_row,COLUMN())))</f>
        <v>0</v>
      </c>
      <c r="BN33" s="27" cm="1">
        <f t="array" aca="1" ref="BN33" ca="1">SUM(INDIRECT(ADDRESS(expenses_min_row,COLUMN())&amp;":"&amp;ADDRESS(expenses_max_row,COLUMN())))</f>
        <v>0</v>
      </c>
      <c r="BO33" s="27" cm="1">
        <f t="array" aca="1" ref="BO33" ca="1">SUM(INDIRECT(ADDRESS(expenses_min_row,COLUMN())&amp;":"&amp;ADDRESS(expenses_max_row,COLUMN())))</f>
        <v>0</v>
      </c>
      <c r="BP33" s="27" cm="1">
        <f t="array" aca="1" ref="BP33" ca="1">SUM(INDIRECT(ADDRESS(expenses_min_row,COLUMN())&amp;":"&amp;ADDRESS(expenses_max_row,COLUMN())))</f>
        <v>0</v>
      </c>
      <c r="BQ33" s="27" cm="1">
        <f t="array" aca="1" ref="BQ33" ca="1">SUM(INDIRECT(ADDRESS(expenses_min_row,COLUMN())&amp;":"&amp;ADDRESS(expenses_max_row,COLUMN())))</f>
        <v>0</v>
      </c>
      <c r="BR33" s="27" cm="1">
        <f t="array" aca="1" ref="BR33" ca="1">SUM(INDIRECT(ADDRESS(expenses_min_row,COLUMN())&amp;":"&amp;ADDRESS(expenses_max_row,COLUMN())))</f>
        <v>0</v>
      </c>
      <c r="BS33" s="27" cm="1">
        <f t="array" aca="1" ref="BS33" ca="1">SUM(INDIRECT(ADDRESS(expenses_min_row,COLUMN())&amp;":"&amp;ADDRESS(expenses_max_row,COLUMN())))</f>
        <v>0</v>
      </c>
      <c r="BT33" s="27" cm="1">
        <f t="array" aca="1" ref="BT33" ca="1">SUM(INDIRECT(ADDRESS(expenses_min_row,COLUMN())&amp;":"&amp;ADDRESS(expenses_max_row,COLUMN())))</f>
        <v>0</v>
      </c>
      <c r="BU33" s="27" cm="1">
        <f t="array" aca="1" ref="BU33" ca="1">SUM(INDIRECT(ADDRESS(expenses_min_row,COLUMN())&amp;":"&amp;ADDRESS(expenses_max_row,COLUMN())))</f>
        <v>0</v>
      </c>
      <c r="BW33" s="27" cm="1">
        <f t="array" aca="1" ref="BW33" ca="1">SUM(INDIRECT(ADDRESS(expenses_min_row,COLUMN())&amp;":"&amp;ADDRESS(expenses_max_row,COLUMN())))</f>
        <v>0</v>
      </c>
      <c r="BX33" s="27" cm="1">
        <f t="array" aca="1" ref="BX33" ca="1">SUM(INDIRECT(ADDRESS(expenses_min_row,COLUMN())&amp;":"&amp;ADDRESS(expenses_max_row,COLUMN())))</f>
        <v>0</v>
      </c>
      <c r="BY33" s="27" cm="1">
        <f t="array" aca="1" ref="BY33" ca="1">SUM(INDIRECT(ADDRESS(expenses_min_row,COLUMN())&amp;":"&amp;ADDRESS(expenses_max_row,COLUMN())))</f>
        <v>0</v>
      </c>
      <c r="BZ33" s="27" cm="1">
        <f t="array" aca="1" ref="BZ33" ca="1">SUM(INDIRECT(ADDRESS(expenses_min_row,COLUMN())&amp;":"&amp;ADDRESS(expenses_max_row,COLUMN())))</f>
        <v>0</v>
      </c>
      <c r="CA33" s="27" cm="1">
        <f t="array" aca="1" ref="CA33" ca="1">SUM(INDIRECT(ADDRESS(expenses_min_row,COLUMN())&amp;":"&amp;ADDRESS(expenses_max_row,COLUMN())))</f>
        <v>0</v>
      </c>
      <c r="CB33" s="27" cm="1">
        <f t="array" aca="1" ref="CB33" ca="1">SUM(INDIRECT(ADDRESS(expenses_min_row,COLUMN())&amp;":"&amp;ADDRESS(expenses_max_row,COLUMN())))</f>
        <v>0</v>
      </c>
      <c r="CC33" s="27" cm="1">
        <f t="array" aca="1" ref="CC33" ca="1">SUM(INDIRECT(ADDRESS(expenses_min_row,COLUMN())&amp;":"&amp;ADDRESS(expenses_max_row,COLUMN())))</f>
        <v>0</v>
      </c>
      <c r="CD33" s="27" cm="1">
        <f t="array" aca="1" ref="CD33" ca="1">SUM(INDIRECT(ADDRESS(expenses_min_row,COLUMN())&amp;":"&amp;ADDRESS(expenses_max_row,COLUMN())))</f>
        <v>0</v>
      </c>
      <c r="CE33" s="27" cm="1">
        <f t="array" aca="1" ref="CE33" ca="1">SUM(INDIRECT(ADDRESS(expenses_min_row,COLUMN())&amp;":"&amp;ADDRESS(expenses_max_row,COLUMN())))</f>
        <v>0</v>
      </c>
      <c r="CF33" s="27" cm="1">
        <f t="array" aca="1" ref="CF33" ca="1">SUM(INDIRECT(ADDRESS(expenses_min_row,COLUMN())&amp;":"&amp;ADDRESS(expenses_max_row,COLUMN())))</f>
        <v>0</v>
      </c>
      <c r="CG33" s="27" cm="1">
        <f t="array" aca="1" ref="CG33" ca="1">SUM(INDIRECT(ADDRESS(expenses_min_row,COLUMN())&amp;":"&amp;ADDRESS(expenses_max_row,COLUMN())))</f>
        <v>0</v>
      </c>
      <c r="CH33" s="27" cm="1">
        <f t="array" aca="1" ref="CH33" ca="1">SUM(INDIRECT(ADDRESS(expenses_min_row,COLUMN())&amp;":"&amp;ADDRESS(expenses_max_row,COLUMN())))</f>
        <v>0</v>
      </c>
      <c r="CI33" s="27" cm="1">
        <f t="array" aca="1" ref="CI33" ca="1">SUM(INDIRECT(ADDRESS(expenses_min_row,COLUMN())&amp;":"&amp;ADDRESS(expenses_max_row,COLUMN())))</f>
        <v>0</v>
      </c>
    </row>
    <row r="35" spans="3:87" x14ac:dyDescent="0.3">
      <c r="C35" s="21" t="s">
        <v>14</v>
      </c>
      <c r="D35" s="15"/>
      <c r="E35" s="31">
        <f>DATE(E$5,1,1)</f>
        <v>45658</v>
      </c>
      <c r="F35" s="31">
        <f>DATE(E$5,2,1)</f>
        <v>45689</v>
      </c>
      <c r="G35" s="31">
        <f>DATE(E$5,3,1)</f>
        <v>45717</v>
      </c>
      <c r="H35" s="31">
        <f>DATE(E$5,4,1)</f>
        <v>45748</v>
      </c>
      <c r="I35" s="31">
        <f>DATE(E$5,5,1)</f>
        <v>45778</v>
      </c>
      <c r="J35" s="31">
        <f>DATE(E$5,6,1)</f>
        <v>45809</v>
      </c>
      <c r="K35" s="31">
        <f>DATE(E$5,7,1)</f>
        <v>45839</v>
      </c>
      <c r="L35" s="31">
        <f>DATE(E$5,8,1)</f>
        <v>45870</v>
      </c>
      <c r="M35" s="31">
        <f>DATE(E$5,9,1)</f>
        <v>45901</v>
      </c>
      <c r="N35" s="31">
        <f>DATE(E$5,10,1)</f>
        <v>45931</v>
      </c>
      <c r="O35" s="31">
        <f>DATE(E$5,11,1)</f>
        <v>45962</v>
      </c>
      <c r="P35" s="31">
        <f>DATE(E$5,12,1)</f>
        <v>45992</v>
      </c>
      <c r="Q35" s="32">
        <f>E$5</f>
        <v>2025</v>
      </c>
      <c r="S35" s="31">
        <f>DATE(S$5,1,1)</f>
        <v>46023</v>
      </c>
      <c r="T35" s="31">
        <f>DATE(S$5,2,1)</f>
        <v>46054</v>
      </c>
      <c r="U35" s="31">
        <f>DATE(S$5,3,1)</f>
        <v>46082</v>
      </c>
      <c r="V35" s="31">
        <f>DATE(S$5,4,1)</f>
        <v>46113</v>
      </c>
      <c r="W35" s="31">
        <f>DATE(S$5,5,1)</f>
        <v>46143</v>
      </c>
      <c r="X35" s="31">
        <f>DATE(S$5,6,1)</f>
        <v>46174</v>
      </c>
      <c r="Y35" s="31">
        <f>DATE(S$5,7,1)</f>
        <v>46204</v>
      </c>
      <c r="Z35" s="31">
        <f>DATE(S$5,8,1)</f>
        <v>46235</v>
      </c>
      <c r="AA35" s="31">
        <f>DATE(S$5,9,1)</f>
        <v>46266</v>
      </c>
      <c r="AB35" s="31">
        <f>DATE(S$5,10,1)</f>
        <v>46296</v>
      </c>
      <c r="AC35" s="31">
        <f>DATE(S$5,11,1)</f>
        <v>46327</v>
      </c>
      <c r="AD35" s="31">
        <f>DATE(S$5,12,1)</f>
        <v>46357</v>
      </c>
      <c r="AE35" s="32">
        <f>S$5</f>
        <v>2026</v>
      </c>
      <c r="AG35" s="31">
        <f t="shared" ref="AG35" si="180">DATE(AG$5,1,1)</f>
        <v>46388</v>
      </c>
      <c r="AH35" s="31">
        <f t="shared" ref="AH35" si="181">DATE(AG$5,2,1)</f>
        <v>46419</v>
      </c>
      <c r="AI35" s="31">
        <f t="shared" ref="AI35" si="182">DATE(AG$5,3,1)</f>
        <v>46447</v>
      </c>
      <c r="AJ35" s="31">
        <f t="shared" ref="AJ35" si="183">DATE(AG$5,4,1)</f>
        <v>46478</v>
      </c>
      <c r="AK35" s="31">
        <f t="shared" ref="AK35" si="184">DATE(AG$5,5,1)</f>
        <v>46508</v>
      </c>
      <c r="AL35" s="31">
        <f t="shared" ref="AL35" si="185">DATE(AG$5,6,1)</f>
        <v>46539</v>
      </c>
      <c r="AM35" s="31">
        <f t="shared" ref="AM35" si="186">DATE(AG$5,7,1)</f>
        <v>46569</v>
      </c>
      <c r="AN35" s="31">
        <f t="shared" ref="AN35" si="187">DATE(AG$5,8,1)</f>
        <v>46600</v>
      </c>
      <c r="AO35" s="31">
        <f t="shared" ref="AO35" si="188">DATE(AG$5,9,1)</f>
        <v>46631</v>
      </c>
      <c r="AP35" s="31">
        <f t="shared" ref="AP35" si="189">DATE(AG$5,10,1)</f>
        <v>46661</v>
      </c>
      <c r="AQ35" s="31">
        <f t="shared" ref="AQ35" si="190">DATE(AG$5,11,1)</f>
        <v>46692</v>
      </c>
      <c r="AR35" s="31">
        <f t="shared" ref="AR35" si="191">DATE(AG$5,12,1)</f>
        <v>46722</v>
      </c>
      <c r="AS35" s="32">
        <f t="shared" ref="AS35" si="192">AG$5</f>
        <v>2027</v>
      </c>
      <c r="AU35" s="31">
        <f t="shared" ref="AU35:BI35" si="193">DATE(AU$5,1,1)</f>
        <v>46753</v>
      </c>
      <c r="AV35" s="31">
        <f t="shared" ref="AV35" si="194">DATE(AU$5,2,1)</f>
        <v>46784</v>
      </c>
      <c r="AW35" s="31">
        <f t="shared" ref="AW35" si="195">DATE(AU$5,3,1)</f>
        <v>46813</v>
      </c>
      <c r="AX35" s="31">
        <f t="shared" ref="AX35" si="196">DATE(AU$5,4,1)</f>
        <v>46844</v>
      </c>
      <c r="AY35" s="31">
        <f t="shared" ref="AY35" si="197">DATE(AU$5,5,1)</f>
        <v>46874</v>
      </c>
      <c r="AZ35" s="31">
        <f t="shared" ref="AZ35" si="198">DATE(AU$5,6,1)</f>
        <v>46905</v>
      </c>
      <c r="BA35" s="31">
        <f t="shared" ref="BA35" si="199">DATE(AU$5,7,1)</f>
        <v>46935</v>
      </c>
      <c r="BB35" s="31">
        <f t="shared" ref="BB35" si="200">DATE(AU$5,8,1)</f>
        <v>46966</v>
      </c>
      <c r="BC35" s="31">
        <f t="shared" ref="BC35" si="201">DATE(AU$5,9,1)</f>
        <v>46997</v>
      </c>
      <c r="BD35" s="31">
        <f t="shared" ref="BD35" si="202">DATE(AU$5,10,1)</f>
        <v>47027</v>
      </c>
      <c r="BE35" s="31">
        <f t="shared" ref="BE35" si="203">DATE(AU$5,11,1)</f>
        <v>47058</v>
      </c>
      <c r="BF35" s="31">
        <f t="shared" ref="BF35" si="204">DATE(AU$5,12,1)</f>
        <v>47088</v>
      </c>
      <c r="BG35" s="32">
        <f t="shared" ref="BG35" si="205">AU$5</f>
        <v>2028</v>
      </c>
      <c r="BI35" s="31">
        <f t="shared" si="193"/>
        <v>47119</v>
      </c>
      <c r="BJ35" s="31">
        <f t="shared" ref="BJ35" si="206">DATE(BI$5,2,1)</f>
        <v>47150</v>
      </c>
      <c r="BK35" s="31">
        <f t="shared" ref="BK35" si="207">DATE(BI$5,3,1)</f>
        <v>47178</v>
      </c>
      <c r="BL35" s="31">
        <f t="shared" ref="BL35" si="208">DATE(BI$5,4,1)</f>
        <v>47209</v>
      </c>
      <c r="BM35" s="31">
        <f t="shared" ref="BM35" si="209">DATE(BI$5,5,1)</f>
        <v>47239</v>
      </c>
      <c r="BN35" s="31">
        <f t="shared" ref="BN35" si="210">DATE(BI$5,6,1)</f>
        <v>47270</v>
      </c>
      <c r="BO35" s="31">
        <f t="shared" ref="BO35" si="211">DATE(BI$5,7,1)</f>
        <v>47300</v>
      </c>
      <c r="BP35" s="31">
        <f t="shared" ref="BP35" si="212">DATE(BI$5,8,1)</f>
        <v>47331</v>
      </c>
      <c r="BQ35" s="31">
        <f t="shared" ref="BQ35" si="213">DATE(BI$5,9,1)</f>
        <v>47362</v>
      </c>
      <c r="BR35" s="31">
        <f t="shared" ref="BR35" si="214">DATE(BI$5,10,1)</f>
        <v>47392</v>
      </c>
      <c r="BS35" s="31">
        <f t="shared" ref="BS35" si="215">DATE(BI$5,11,1)</f>
        <v>47423</v>
      </c>
      <c r="BT35" s="31">
        <f t="shared" ref="BT35" si="216">DATE(BI$5,12,1)</f>
        <v>47453</v>
      </c>
      <c r="BU35" s="32">
        <f t="shared" ref="BU35" si="217">BI$5</f>
        <v>2029</v>
      </c>
      <c r="BW35" s="31">
        <f t="shared" ref="BW35" si="218">DATE(BW$5,1,1)</f>
        <v>47484</v>
      </c>
      <c r="BX35" s="31">
        <f t="shared" ref="BX35" si="219">DATE(BW$5,2,1)</f>
        <v>47515</v>
      </c>
      <c r="BY35" s="31">
        <f t="shared" ref="BY35" si="220">DATE(BW$5,3,1)</f>
        <v>47543</v>
      </c>
      <c r="BZ35" s="31">
        <f t="shared" ref="BZ35" si="221">DATE(BW$5,4,1)</f>
        <v>47574</v>
      </c>
      <c r="CA35" s="31">
        <f t="shared" ref="CA35" si="222">DATE(BW$5,5,1)</f>
        <v>47604</v>
      </c>
      <c r="CB35" s="31">
        <f t="shared" ref="CB35" si="223">DATE(BW$5,6,1)</f>
        <v>47635</v>
      </c>
      <c r="CC35" s="31">
        <f t="shared" ref="CC35" si="224">DATE(BW$5,7,1)</f>
        <v>47665</v>
      </c>
      <c r="CD35" s="31">
        <f t="shared" ref="CD35" si="225">DATE(BW$5,8,1)</f>
        <v>47696</v>
      </c>
      <c r="CE35" s="31">
        <f t="shared" ref="CE35" si="226">DATE(BW$5,9,1)</f>
        <v>47727</v>
      </c>
      <c r="CF35" s="31">
        <f t="shared" ref="CF35" si="227">DATE(BW$5,10,1)</f>
        <v>47757</v>
      </c>
      <c r="CG35" s="31">
        <f t="shared" ref="CG35" si="228">DATE(BW$5,11,1)</f>
        <v>47788</v>
      </c>
      <c r="CH35" s="31">
        <f t="shared" ref="CH35" si="229">DATE(BW$5,12,1)</f>
        <v>47818</v>
      </c>
      <c r="CI35" s="32">
        <f t="shared" ref="CI35" si="230">BW$5</f>
        <v>2030</v>
      </c>
    </row>
    <row r="36" spans="3:87" x14ac:dyDescent="0.3">
      <c r="C36" s="25" t="s">
        <v>109</v>
      </c>
      <c r="E36" s="26">
        <v>85</v>
      </c>
      <c r="F36" s="26">
        <v>58</v>
      </c>
      <c r="G36" s="26">
        <v>85</v>
      </c>
      <c r="H36" s="26">
        <v>85</v>
      </c>
      <c r="I36" s="26">
        <v>0</v>
      </c>
      <c r="J36" s="26">
        <v>0</v>
      </c>
      <c r="K36" s="26">
        <v>210</v>
      </c>
      <c r="L36" s="26"/>
      <c r="M36" s="26"/>
      <c r="N36" s="26"/>
      <c r="O36" s="26"/>
      <c r="P36" s="26">
        <v>0</v>
      </c>
      <c r="Q36" s="28">
        <f>SUM(E36:P36)</f>
        <v>523</v>
      </c>
      <c r="S36" s="26"/>
      <c r="T36" s="26"/>
      <c r="U36" s="26"/>
      <c r="V36" s="26"/>
      <c r="W36" s="26"/>
      <c r="X36" s="26"/>
      <c r="Y36" s="26"/>
      <c r="Z36" s="26"/>
      <c r="AA36" s="26"/>
      <c r="AB36" s="26"/>
      <c r="AC36" s="26"/>
      <c r="AD36" s="26"/>
      <c r="AE36" s="28">
        <f>SUM(S36:AD36)</f>
        <v>0</v>
      </c>
      <c r="AG36" s="26"/>
      <c r="AH36" s="26"/>
      <c r="AI36" s="26"/>
      <c r="AJ36" s="26"/>
      <c r="AK36" s="26"/>
      <c r="AL36" s="26"/>
      <c r="AM36" s="26"/>
      <c r="AN36" s="26"/>
      <c r="AO36" s="26"/>
      <c r="AP36" s="26"/>
      <c r="AQ36" s="26"/>
      <c r="AR36" s="26"/>
      <c r="AS36" s="28">
        <f t="shared" ref="AS36" si="231">SUM(AG36:AR36)</f>
        <v>0</v>
      </c>
      <c r="AU36" s="26"/>
      <c r="AV36" s="26"/>
      <c r="AW36" s="26"/>
      <c r="AX36" s="26"/>
      <c r="AY36" s="26"/>
      <c r="AZ36" s="26"/>
      <c r="BA36" s="26"/>
      <c r="BB36" s="26"/>
      <c r="BC36" s="26"/>
      <c r="BD36" s="26"/>
      <c r="BE36" s="26"/>
      <c r="BF36" s="26"/>
      <c r="BG36" s="28">
        <f t="shared" ref="BG36" si="232">SUM(AU36:BF36)</f>
        <v>0</v>
      </c>
      <c r="BI36" s="26"/>
      <c r="BJ36" s="26"/>
      <c r="BK36" s="26"/>
      <c r="BL36" s="26"/>
      <c r="BM36" s="26"/>
      <c r="BN36" s="26"/>
      <c r="BO36" s="26"/>
      <c r="BP36" s="26"/>
      <c r="BQ36" s="26"/>
      <c r="BR36" s="26"/>
      <c r="BS36" s="26"/>
      <c r="BT36" s="26"/>
      <c r="BU36" s="28">
        <f t="shared" ref="BU36" si="233">SUM(BI36:BT36)</f>
        <v>0</v>
      </c>
      <c r="BW36" s="26"/>
      <c r="BX36" s="26"/>
      <c r="BY36" s="26"/>
      <c r="BZ36" s="26"/>
      <c r="CA36" s="26"/>
      <c r="CB36" s="26"/>
      <c r="CC36" s="26"/>
      <c r="CD36" s="26"/>
      <c r="CE36" s="26"/>
      <c r="CF36" s="26"/>
      <c r="CG36" s="26"/>
      <c r="CH36" s="26"/>
      <c r="CI36" s="28">
        <f t="shared" ref="CI36" si="234">SUM(BW36:CH36)</f>
        <v>0</v>
      </c>
    </row>
    <row r="37" spans="3:87" x14ac:dyDescent="0.3">
      <c r="C37" s="25" t="s">
        <v>110</v>
      </c>
      <c r="E37" s="26">
        <v>130</v>
      </c>
      <c r="F37" s="26"/>
      <c r="G37" s="26">
        <v>85</v>
      </c>
      <c r="H37" s="26">
        <v>75</v>
      </c>
      <c r="I37" s="26">
        <v>0</v>
      </c>
      <c r="J37" s="26">
        <v>362</v>
      </c>
      <c r="K37" s="26">
        <v>765</v>
      </c>
      <c r="L37" s="26"/>
      <c r="M37" s="26">
        <v>350</v>
      </c>
      <c r="N37" s="26">
        <v>350</v>
      </c>
      <c r="O37" s="26">
        <v>250</v>
      </c>
      <c r="P37" s="26">
        <v>0</v>
      </c>
      <c r="Q37" s="28">
        <f t="shared" ref="Q37:Q45" si="235">SUM(E37:P37)</f>
        <v>2367</v>
      </c>
      <c r="S37" s="26">
        <v>400</v>
      </c>
      <c r="T37" s="26">
        <v>437.5</v>
      </c>
      <c r="U37" s="26">
        <v>437.5</v>
      </c>
      <c r="V37" s="26">
        <v>437.5</v>
      </c>
      <c r="W37" s="26">
        <v>437.5</v>
      </c>
      <c r="X37" s="26">
        <v>437.5</v>
      </c>
      <c r="Y37" s="26">
        <v>437.5</v>
      </c>
      <c r="Z37" s="26">
        <v>437.5</v>
      </c>
      <c r="AA37" s="26">
        <v>437.5</v>
      </c>
      <c r="AB37" s="26">
        <v>297</v>
      </c>
      <c r="AC37" s="26">
        <v>297</v>
      </c>
      <c r="AD37" s="26">
        <v>297</v>
      </c>
      <c r="AE37" s="28">
        <f t="shared" ref="AE37:AE45" si="236">SUM(S37:AD37)</f>
        <v>4791</v>
      </c>
      <c r="AG37" s="26"/>
      <c r="AH37" s="26"/>
      <c r="AI37" s="26"/>
      <c r="AJ37" s="26"/>
      <c r="AK37" s="26"/>
      <c r="AL37" s="26"/>
      <c r="AM37" s="26"/>
      <c r="AN37" s="26"/>
      <c r="AO37" s="26"/>
      <c r="AP37" s="26"/>
      <c r="AQ37" s="26"/>
      <c r="AR37" s="26"/>
      <c r="AS37" s="28">
        <f t="shared" ref="AS37:AS45" si="237">SUM(AG37:AR37)</f>
        <v>0</v>
      </c>
      <c r="AU37" s="26"/>
      <c r="AV37" s="26"/>
      <c r="AW37" s="26"/>
      <c r="AX37" s="26"/>
      <c r="AY37" s="26"/>
      <c r="AZ37" s="26"/>
      <c r="BA37" s="26"/>
      <c r="BB37" s="26"/>
      <c r="BC37" s="26"/>
      <c r="BD37" s="26"/>
      <c r="BE37" s="26"/>
      <c r="BF37" s="26"/>
      <c r="BG37" s="28">
        <f t="shared" ref="BG37:BG45" si="238">SUM(AU37:BF37)</f>
        <v>0</v>
      </c>
      <c r="BI37" s="26"/>
      <c r="BJ37" s="26"/>
      <c r="BK37" s="26"/>
      <c r="BL37" s="26"/>
      <c r="BM37" s="26"/>
      <c r="BN37" s="26"/>
      <c r="BO37" s="26"/>
      <c r="BP37" s="26"/>
      <c r="BQ37" s="26"/>
      <c r="BR37" s="26"/>
      <c r="BS37" s="26"/>
      <c r="BT37" s="26"/>
      <c r="BU37" s="28">
        <f t="shared" ref="BU37:BU45" si="239">SUM(BI37:BT37)</f>
        <v>0</v>
      </c>
      <c r="BW37" s="26"/>
      <c r="BX37" s="26"/>
      <c r="BY37" s="26"/>
      <c r="BZ37" s="26"/>
      <c r="CA37" s="26"/>
      <c r="CB37" s="26"/>
      <c r="CC37" s="26"/>
      <c r="CD37" s="26"/>
      <c r="CE37" s="26"/>
      <c r="CF37" s="26"/>
      <c r="CG37" s="26"/>
      <c r="CH37" s="26"/>
      <c r="CI37" s="28">
        <f t="shared" ref="CI37:CI45" si="240">SUM(BW37:CH37)</f>
        <v>0</v>
      </c>
    </row>
    <row r="38" spans="3:87" x14ac:dyDescent="0.3">
      <c r="C38" s="25" t="s">
        <v>157</v>
      </c>
      <c r="E38" s="26"/>
      <c r="F38" s="26"/>
      <c r="G38" s="26"/>
      <c r="H38" s="26"/>
      <c r="I38" s="26"/>
      <c r="J38" s="26"/>
      <c r="K38" s="26">
        <v>90</v>
      </c>
      <c r="L38" s="26">
        <v>700</v>
      </c>
      <c r="M38" s="26">
        <v>350</v>
      </c>
      <c r="N38" s="26">
        <v>350</v>
      </c>
      <c r="O38" s="26">
        <v>250</v>
      </c>
      <c r="P38" s="26"/>
      <c r="Q38" s="28">
        <f t="shared" si="235"/>
        <v>1740</v>
      </c>
      <c r="S38" s="26">
        <v>297</v>
      </c>
      <c r="T38" s="26">
        <v>259</v>
      </c>
      <c r="U38" s="26">
        <v>100</v>
      </c>
      <c r="V38" s="26">
        <v>100</v>
      </c>
      <c r="W38" s="26">
        <v>59</v>
      </c>
      <c r="X38" s="26"/>
      <c r="Y38" s="26"/>
      <c r="Z38" s="26"/>
      <c r="AA38" s="26"/>
      <c r="AB38" s="26"/>
      <c r="AC38" s="26"/>
      <c r="AD38" s="26"/>
      <c r="AE38" s="28">
        <f t="shared" si="236"/>
        <v>815</v>
      </c>
      <c r="AG38" s="26"/>
      <c r="AH38" s="26"/>
      <c r="AI38" s="26"/>
      <c r="AJ38" s="26"/>
      <c r="AK38" s="26"/>
      <c r="AL38" s="26"/>
      <c r="AM38" s="26"/>
      <c r="AN38" s="26"/>
      <c r="AO38" s="26"/>
      <c r="AP38" s="26"/>
      <c r="AQ38" s="26"/>
      <c r="AR38" s="26"/>
      <c r="AS38" s="28">
        <f t="shared" si="237"/>
        <v>0</v>
      </c>
      <c r="AU38" s="26"/>
      <c r="AV38" s="26"/>
      <c r="AW38" s="26"/>
      <c r="AX38" s="26"/>
      <c r="AY38" s="26"/>
      <c r="AZ38" s="26"/>
      <c r="BA38" s="26"/>
      <c r="BB38" s="26"/>
      <c r="BC38" s="26"/>
      <c r="BD38" s="26"/>
      <c r="BE38" s="26"/>
      <c r="BF38" s="26"/>
      <c r="BG38" s="28">
        <f t="shared" si="238"/>
        <v>0</v>
      </c>
      <c r="BI38" s="26"/>
      <c r="BJ38" s="26"/>
      <c r="BK38" s="26"/>
      <c r="BL38" s="26"/>
      <c r="BM38" s="26"/>
      <c r="BN38" s="26"/>
      <c r="BO38" s="26"/>
      <c r="BP38" s="26"/>
      <c r="BQ38" s="26"/>
      <c r="BR38" s="26"/>
      <c r="BS38" s="26"/>
      <c r="BT38" s="26"/>
      <c r="BU38" s="28">
        <f t="shared" si="239"/>
        <v>0</v>
      </c>
      <c r="BW38" s="26"/>
      <c r="BX38" s="26"/>
      <c r="BY38" s="26"/>
      <c r="BZ38" s="26"/>
      <c r="CA38" s="26"/>
      <c r="CB38" s="26"/>
      <c r="CC38" s="26"/>
      <c r="CD38" s="26"/>
      <c r="CE38" s="26"/>
      <c r="CF38" s="26"/>
      <c r="CG38" s="26"/>
      <c r="CH38" s="26"/>
      <c r="CI38" s="28">
        <f t="shared" si="240"/>
        <v>0</v>
      </c>
    </row>
    <row r="39" spans="3:87" x14ac:dyDescent="0.3">
      <c r="C39" s="25" t="s">
        <v>324</v>
      </c>
      <c r="E39" s="26"/>
      <c r="F39" s="26"/>
      <c r="G39" s="26"/>
      <c r="H39" s="26"/>
      <c r="I39" s="26"/>
      <c r="J39" s="26"/>
      <c r="K39" s="26"/>
      <c r="L39" s="26"/>
      <c r="M39" s="26"/>
      <c r="N39" s="26"/>
      <c r="O39" s="26"/>
      <c r="P39" s="26"/>
      <c r="Q39" s="28">
        <f t="shared" si="235"/>
        <v>0</v>
      </c>
      <c r="S39" s="26"/>
      <c r="T39" s="26"/>
      <c r="U39" s="26">
        <v>159</v>
      </c>
      <c r="V39" s="26">
        <v>159</v>
      </c>
      <c r="W39" s="26"/>
      <c r="X39" s="26">
        <v>259</v>
      </c>
      <c r="Y39" s="26">
        <v>259</v>
      </c>
      <c r="Z39" s="26">
        <v>259</v>
      </c>
      <c r="AA39" s="26">
        <v>259</v>
      </c>
      <c r="AB39" s="26">
        <v>400</v>
      </c>
      <c r="AC39" s="26">
        <v>400</v>
      </c>
      <c r="AD39" s="26">
        <v>400</v>
      </c>
      <c r="AE39" s="28">
        <f t="shared" si="236"/>
        <v>2554</v>
      </c>
      <c r="AG39" s="26"/>
      <c r="AH39" s="26"/>
      <c r="AI39" s="26"/>
      <c r="AJ39" s="26"/>
      <c r="AK39" s="26"/>
      <c r="AL39" s="26"/>
      <c r="AM39" s="26"/>
      <c r="AN39" s="26"/>
      <c r="AO39" s="26"/>
      <c r="AP39" s="26"/>
      <c r="AQ39" s="26"/>
      <c r="AR39" s="26"/>
      <c r="AS39" s="28">
        <f t="shared" si="237"/>
        <v>0</v>
      </c>
      <c r="AU39" s="26"/>
      <c r="AV39" s="26"/>
      <c r="AW39" s="26"/>
      <c r="AX39" s="26"/>
      <c r="AY39" s="26"/>
      <c r="AZ39" s="26"/>
      <c r="BA39" s="26"/>
      <c r="BB39" s="26"/>
      <c r="BC39" s="26"/>
      <c r="BD39" s="26"/>
      <c r="BE39" s="26"/>
      <c r="BF39" s="26"/>
      <c r="BG39" s="28">
        <f t="shared" si="238"/>
        <v>0</v>
      </c>
      <c r="BI39" s="26"/>
      <c r="BJ39" s="26"/>
      <c r="BK39" s="26"/>
      <c r="BL39" s="26"/>
      <c r="BM39" s="26"/>
      <c r="BN39" s="26"/>
      <c r="BO39" s="26"/>
      <c r="BP39" s="26"/>
      <c r="BQ39" s="26"/>
      <c r="BR39" s="26"/>
      <c r="BS39" s="26"/>
      <c r="BT39" s="26"/>
      <c r="BU39" s="28">
        <f t="shared" si="239"/>
        <v>0</v>
      </c>
      <c r="BW39" s="26"/>
      <c r="BX39" s="26"/>
      <c r="BY39" s="26"/>
      <c r="BZ39" s="26"/>
      <c r="CA39" s="26"/>
      <c r="CB39" s="26"/>
      <c r="CC39" s="26"/>
      <c r="CD39" s="26"/>
      <c r="CE39" s="26"/>
      <c r="CF39" s="26"/>
      <c r="CG39" s="26"/>
      <c r="CH39" s="26"/>
      <c r="CI39" s="28">
        <f t="shared" si="240"/>
        <v>0</v>
      </c>
    </row>
    <row r="40" spans="3:87" x14ac:dyDescent="0.3">
      <c r="C40" s="25" t="s">
        <v>15</v>
      </c>
      <c r="E40" s="26"/>
      <c r="F40" s="26"/>
      <c r="G40" s="26"/>
      <c r="H40" s="26"/>
      <c r="I40" s="26"/>
      <c r="J40" s="26"/>
      <c r="K40" s="26"/>
      <c r="L40" s="26"/>
      <c r="M40" s="26"/>
      <c r="N40" s="26"/>
      <c r="O40" s="26"/>
      <c r="P40" s="26"/>
      <c r="Q40" s="28">
        <f t="shared" si="235"/>
        <v>0</v>
      </c>
      <c r="S40" s="26"/>
      <c r="T40" s="26"/>
      <c r="U40" s="26"/>
      <c r="V40" s="26"/>
      <c r="W40" s="26"/>
      <c r="X40" s="26"/>
      <c r="Y40" s="26"/>
      <c r="Z40" s="26"/>
      <c r="AA40" s="26"/>
      <c r="AB40" s="26"/>
      <c r="AC40" s="26"/>
      <c r="AD40" s="26"/>
      <c r="AE40" s="28">
        <f t="shared" si="236"/>
        <v>0</v>
      </c>
      <c r="AG40" s="26"/>
      <c r="AH40" s="26"/>
      <c r="AI40" s="26"/>
      <c r="AJ40" s="26"/>
      <c r="AK40" s="26"/>
      <c r="AL40" s="26"/>
      <c r="AM40" s="26"/>
      <c r="AN40" s="26"/>
      <c r="AO40" s="26"/>
      <c r="AP40" s="26"/>
      <c r="AQ40" s="26"/>
      <c r="AR40" s="26"/>
      <c r="AS40" s="28">
        <f t="shared" si="237"/>
        <v>0</v>
      </c>
      <c r="AU40" s="26"/>
      <c r="AV40" s="26"/>
      <c r="AW40" s="26"/>
      <c r="AX40" s="26"/>
      <c r="AY40" s="26"/>
      <c r="AZ40" s="26"/>
      <c r="BA40" s="26"/>
      <c r="BB40" s="26"/>
      <c r="BC40" s="26"/>
      <c r="BD40" s="26"/>
      <c r="BE40" s="26"/>
      <c r="BF40" s="26"/>
      <c r="BG40" s="28">
        <f t="shared" si="238"/>
        <v>0</v>
      </c>
      <c r="BI40" s="26"/>
      <c r="BJ40" s="26"/>
      <c r="BK40" s="26"/>
      <c r="BL40" s="26"/>
      <c r="BM40" s="26"/>
      <c r="BN40" s="26"/>
      <c r="BO40" s="26"/>
      <c r="BP40" s="26"/>
      <c r="BQ40" s="26"/>
      <c r="BR40" s="26"/>
      <c r="BS40" s="26"/>
      <c r="BT40" s="26"/>
      <c r="BU40" s="28">
        <f t="shared" si="239"/>
        <v>0</v>
      </c>
      <c r="BW40" s="26"/>
      <c r="BX40" s="26"/>
      <c r="BY40" s="26"/>
      <c r="BZ40" s="26"/>
      <c r="CA40" s="26"/>
      <c r="CB40" s="26"/>
      <c r="CC40" s="26"/>
      <c r="CD40" s="26"/>
      <c r="CE40" s="26"/>
      <c r="CF40" s="26"/>
      <c r="CG40" s="26"/>
      <c r="CH40" s="26"/>
      <c r="CI40" s="28">
        <f t="shared" si="240"/>
        <v>0</v>
      </c>
    </row>
    <row r="41" spans="3:87" x14ac:dyDescent="0.3">
      <c r="C41" s="25" t="s">
        <v>15</v>
      </c>
      <c r="E41" s="26"/>
      <c r="F41" s="26"/>
      <c r="G41" s="26"/>
      <c r="H41" s="26"/>
      <c r="I41" s="26"/>
      <c r="J41" s="26"/>
      <c r="K41" s="26"/>
      <c r="L41" s="26"/>
      <c r="M41" s="26"/>
      <c r="N41" s="26"/>
      <c r="O41" s="26"/>
      <c r="P41" s="26"/>
      <c r="Q41" s="28">
        <f t="shared" si="235"/>
        <v>0</v>
      </c>
      <c r="S41" s="26"/>
      <c r="T41" s="26"/>
      <c r="U41" s="26"/>
      <c r="V41" s="26"/>
      <c r="W41" s="26"/>
      <c r="X41" s="26"/>
      <c r="Y41" s="26"/>
      <c r="Z41" s="26"/>
      <c r="AA41" s="26"/>
      <c r="AB41" s="26"/>
      <c r="AC41" s="26"/>
      <c r="AD41" s="26"/>
      <c r="AE41" s="28">
        <f t="shared" si="236"/>
        <v>0</v>
      </c>
      <c r="AG41" s="26"/>
      <c r="AH41" s="26"/>
      <c r="AI41" s="26"/>
      <c r="AJ41" s="26"/>
      <c r="AK41" s="26"/>
      <c r="AL41" s="26"/>
      <c r="AM41" s="26"/>
      <c r="AN41" s="26"/>
      <c r="AO41" s="26"/>
      <c r="AP41" s="26"/>
      <c r="AQ41" s="26"/>
      <c r="AR41" s="26"/>
      <c r="AS41" s="28">
        <f t="shared" si="237"/>
        <v>0</v>
      </c>
      <c r="AU41" s="26"/>
      <c r="AV41" s="26"/>
      <c r="AW41" s="26"/>
      <c r="AX41" s="26"/>
      <c r="AY41" s="26"/>
      <c r="AZ41" s="26"/>
      <c r="BA41" s="26"/>
      <c r="BB41" s="26"/>
      <c r="BC41" s="26"/>
      <c r="BD41" s="26"/>
      <c r="BE41" s="26"/>
      <c r="BF41" s="26"/>
      <c r="BG41" s="28">
        <f t="shared" si="238"/>
        <v>0</v>
      </c>
      <c r="BI41" s="26"/>
      <c r="BJ41" s="26"/>
      <c r="BK41" s="26"/>
      <c r="BL41" s="26"/>
      <c r="BM41" s="26"/>
      <c r="BN41" s="26"/>
      <c r="BO41" s="26"/>
      <c r="BP41" s="26"/>
      <c r="BQ41" s="26"/>
      <c r="BR41" s="26"/>
      <c r="BS41" s="26"/>
      <c r="BT41" s="26"/>
      <c r="BU41" s="28">
        <f t="shared" si="239"/>
        <v>0</v>
      </c>
      <c r="BW41" s="26"/>
      <c r="BX41" s="26"/>
      <c r="BY41" s="26"/>
      <c r="BZ41" s="26"/>
      <c r="CA41" s="26"/>
      <c r="CB41" s="26"/>
      <c r="CC41" s="26"/>
      <c r="CD41" s="26"/>
      <c r="CE41" s="26"/>
      <c r="CF41" s="26"/>
      <c r="CG41" s="26"/>
      <c r="CH41" s="26"/>
      <c r="CI41" s="28">
        <f t="shared" si="240"/>
        <v>0</v>
      </c>
    </row>
    <row r="42" spans="3:87" x14ac:dyDescent="0.3">
      <c r="C42" s="25" t="s">
        <v>15</v>
      </c>
      <c r="E42" s="26"/>
      <c r="F42" s="26"/>
      <c r="G42" s="26"/>
      <c r="H42" s="26"/>
      <c r="I42" s="26"/>
      <c r="J42" s="26"/>
      <c r="K42" s="26"/>
      <c r="L42" s="26"/>
      <c r="M42" s="26"/>
      <c r="N42" s="26"/>
      <c r="O42" s="26"/>
      <c r="P42" s="26"/>
      <c r="Q42" s="28">
        <f t="shared" si="235"/>
        <v>0</v>
      </c>
      <c r="S42" s="26"/>
      <c r="T42" s="26"/>
      <c r="U42" s="26"/>
      <c r="V42" s="26"/>
      <c r="W42" s="26"/>
      <c r="X42" s="26"/>
      <c r="Y42" s="26"/>
      <c r="Z42" s="26"/>
      <c r="AA42" s="26"/>
      <c r="AB42" s="26"/>
      <c r="AC42" s="26"/>
      <c r="AD42" s="26"/>
      <c r="AE42" s="28">
        <f t="shared" si="236"/>
        <v>0</v>
      </c>
      <c r="AG42" s="26"/>
      <c r="AH42" s="26"/>
      <c r="AI42" s="26"/>
      <c r="AJ42" s="26"/>
      <c r="AK42" s="26"/>
      <c r="AL42" s="26"/>
      <c r="AM42" s="26"/>
      <c r="AN42" s="26"/>
      <c r="AO42" s="26"/>
      <c r="AP42" s="26"/>
      <c r="AQ42" s="26"/>
      <c r="AR42" s="26"/>
      <c r="AS42" s="28">
        <f t="shared" si="237"/>
        <v>0</v>
      </c>
      <c r="AU42" s="26"/>
      <c r="AV42" s="26"/>
      <c r="AW42" s="26"/>
      <c r="AX42" s="26"/>
      <c r="AY42" s="26"/>
      <c r="AZ42" s="26"/>
      <c r="BA42" s="26"/>
      <c r="BB42" s="26"/>
      <c r="BC42" s="26"/>
      <c r="BD42" s="26"/>
      <c r="BE42" s="26"/>
      <c r="BF42" s="26"/>
      <c r="BG42" s="28">
        <f t="shared" si="238"/>
        <v>0</v>
      </c>
      <c r="BI42" s="26"/>
      <c r="BJ42" s="26"/>
      <c r="BK42" s="26"/>
      <c r="BL42" s="26"/>
      <c r="BM42" s="26"/>
      <c r="BN42" s="26"/>
      <c r="BO42" s="26"/>
      <c r="BP42" s="26"/>
      <c r="BQ42" s="26"/>
      <c r="BR42" s="26"/>
      <c r="BS42" s="26"/>
      <c r="BT42" s="26"/>
      <c r="BU42" s="28">
        <f t="shared" si="239"/>
        <v>0</v>
      </c>
      <c r="BW42" s="26"/>
      <c r="BX42" s="26"/>
      <c r="BY42" s="26"/>
      <c r="BZ42" s="26"/>
      <c r="CA42" s="26"/>
      <c r="CB42" s="26"/>
      <c r="CC42" s="26"/>
      <c r="CD42" s="26"/>
      <c r="CE42" s="26"/>
      <c r="CF42" s="26"/>
      <c r="CG42" s="26"/>
      <c r="CH42" s="26"/>
      <c r="CI42" s="28">
        <f t="shared" si="240"/>
        <v>0</v>
      </c>
    </row>
    <row r="43" spans="3:87" x14ac:dyDescent="0.3">
      <c r="C43" s="25" t="s">
        <v>15</v>
      </c>
      <c r="E43" s="26"/>
      <c r="F43" s="26"/>
      <c r="G43" s="26"/>
      <c r="H43" s="26"/>
      <c r="I43" s="26"/>
      <c r="J43" s="26"/>
      <c r="K43" s="26"/>
      <c r="L43" s="26"/>
      <c r="M43" s="26"/>
      <c r="N43" s="26"/>
      <c r="O43" s="26"/>
      <c r="P43" s="26"/>
      <c r="Q43" s="28">
        <f t="shared" si="235"/>
        <v>0</v>
      </c>
      <c r="S43" s="26"/>
      <c r="T43" s="26"/>
      <c r="U43" s="26"/>
      <c r="V43" s="26"/>
      <c r="W43" s="26"/>
      <c r="X43" s="26"/>
      <c r="Y43" s="26"/>
      <c r="Z43" s="26"/>
      <c r="AA43" s="26"/>
      <c r="AB43" s="26"/>
      <c r="AC43" s="26"/>
      <c r="AD43" s="26"/>
      <c r="AE43" s="28">
        <f t="shared" si="236"/>
        <v>0</v>
      </c>
      <c r="AG43" s="26"/>
      <c r="AH43" s="26"/>
      <c r="AI43" s="26"/>
      <c r="AJ43" s="26"/>
      <c r="AK43" s="26"/>
      <c r="AL43" s="26"/>
      <c r="AM43" s="26"/>
      <c r="AN43" s="26"/>
      <c r="AO43" s="26"/>
      <c r="AP43" s="26"/>
      <c r="AQ43" s="26"/>
      <c r="AR43" s="26"/>
      <c r="AS43" s="28">
        <f t="shared" si="237"/>
        <v>0</v>
      </c>
      <c r="AU43" s="26"/>
      <c r="AV43" s="26"/>
      <c r="AW43" s="26"/>
      <c r="AX43" s="26"/>
      <c r="AY43" s="26"/>
      <c r="AZ43" s="26"/>
      <c r="BA43" s="26"/>
      <c r="BB43" s="26"/>
      <c r="BC43" s="26"/>
      <c r="BD43" s="26"/>
      <c r="BE43" s="26"/>
      <c r="BF43" s="26"/>
      <c r="BG43" s="28">
        <f t="shared" si="238"/>
        <v>0</v>
      </c>
      <c r="BI43" s="26"/>
      <c r="BJ43" s="26"/>
      <c r="BK43" s="26"/>
      <c r="BL43" s="26"/>
      <c r="BM43" s="26"/>
      <c r="BN43" s="26"/>
      <c r="BO43" s="26"/>
      <c r="BP43" s="26"/>
      <c r="BQ43" s="26"/>
      <c r="BR43" s="26"/>
      <c r="BS43" s="26"/>
      <c r="BT43" s="26"/>
      <c r="BU43" s="28">
        <f t="shared" si="239"/>
        <v>0</v>
      </c>
      <c r="BW43" s="26"/>
      <c r="BX43" s="26"/>
      <c r="BY43" s="26"/>
      <c r="BZ43" s="26"/>
      <c r="CA43" s="26"/>
      <c r="CB43" s="26"/>
      <c r="CC43" s="26"/>
      <c r="CD43" s="26"/>
      <c r="CE43" s="26"/>
      <c r="CF43" s="26"/>
      <c r="CG43" s="26"/>
      <c r="CH43" s="26"/>
      <c r="CI43" s="28">
        <f t="shared" si="240"/>
        <v>0</v>
      </c>
    </row>
    <row r="44" spans="3:87" x14ac:dyDescent="0.3">
      <c r="C44" s="25" t="s">
        <v>15</v>
      </c>
      <c r="E44" s="26"/>
      <c r="F44" s="26"/>
      <c r="G44" s="26"/>
      <c r="H44" s="26"/>
      <c r="I44" s="26"/>
      <c r="J44" s="26"/>
      <c r="K44" s="26"/>
      <c r="L44" s="26"/>
      <c r="M44" s="26"/>
      <c r="N44" s="26"/>
      <c r="O44" s="26"/>
      <c r="P44" s="26"/>
      <c r="Q44" s="28">
        <f t="shared" si="235"/>
        <v>0</v>
      </c>
      <c r="S44" s="26"/>
      <c r="T44" s="26"/>
      <c r="U44" s="26"/>
      <c r="V44" s="26"/>
      <c r="W44" s="26"/>
      <c r="X44" s="26"/>
      <c r="Y44" s="26"/>
      <c r="Z44" s="26"/>
      <c r="AA44" s="26"/>
      <c r="AB44" s="26"/>
      <c r="AC44" s="26"/>
      <c r="AD44" s="26"/>
      <c r="AE44" s="28">
        <f t="shared" si="236"/>
        <v>0</v>
      </c>
      <c r="AG44" s="26"/>
      <c r="AH44" s="26"/>
      <c r="AI44" s="26"/>
      <c r="AJ44" s="26"/>
      <c r="AK44" s="26"/>
      <c r="AL44" s="26"/>
      <c r="AM44" s="26"/>
      <c r="AN44" s="26"/>
      <c r="AO44" s="26"/>
      <c r="AP44" s="26"/>
      <c r="AQ44" s="26"/>
      <c r="AR44" s="26"/>
      <c r="AS44" s="28">
        <f t="shared" si="237"/>
        <v>0</v>
      </c>
      <c r="AU44" s="26"/>
      <c r="AV44" s="26"/>
      <c r="AW44" s="26"/>
      <c r="AX44" s="26"/>
      <c r="AY44" s="26"/>
      <c r="AZ44" s="26"/>
      <c r="BA44" s="26"/>
      <c r="BB44" s="26"/>
      <c r="BC44" s="26"/>
      <c r="BD44" s="26"/>
      <c r="BE44" s="26"/>
      <c r="BF44" s="26"/>
      <c r="BG44" s="28">
        <f t="shared" si="238"/>
        <v>0</v>
      </c>
      <c r="BI44" s="26"/>
      <c r="BJ44" s="26"/>
      <c r="BK44" s="26"/>
      <c r="BL44" s="26"/>
      <c r="BM44" s="26"/>
      <c r="BN44" s="26"/>
      <c r="BO44" s="26"/>
      <c r="BP44" s="26"/>
      <c r="BQ44" s="26"/>
      <c r="BR44" s="26"/>
      <c r="BS44" s="26"/>
      <c r="BT44" s="26"/>
      <c r="BU44" s="28">
        <f t="shared" si="239"/>
        <v>0</v>
      </c>
      <c r="BW44" s="26"/>
      <c r="BX44" s="26"/>
      <c r="BY44" s="26"/>
      <c r="BZ44" s="26"/>
      <c r="CA44" s="26"/>
      <c r="CB44" s="26"/>
      <c r="CC44" s="26"/>
      <c r="CD44" s="26"/>
      <c r="CE44" s="26"/>
      <c r="CF44" s="26"/>
      <c r="CG44" s="26"/>
      <c r="CH44" s="26"/>
      <c r="CI44" s="28">
        <f t="shared" si="240"/>
        <v>0</v>
      </c>
    </row>
    <row r="45" spans="3:87" x14ac:dyDescent="0.3">
      <c r="C45" s="25" t="s">
        <v>15</v>
      </c>
      <c r="E45" s="26"/>
      <c r="F45" s="26"/>
      <c r="G45" s="26"/>
      <c r="H45" s="26"/>
      <c r="I45" s="26"/>
      <c r="J45" s="26"/>
      <c r="K45" s="26"/>
      <c r="L45" s="26"/>
      <c r="M45" s="26"/>
      <c r="N45" s="26"/>
      <c r="O45" s="26"/>
      <c r="P45" s="26"/>
      <c r="Q45" s="28">
        <f t="shared" si="235"/>
        <v>0</v>
      </c>
      <c r="S45" s="26"/>
      <c r="T45" s="26"/>
      <c r="U45" s="26"/>
      <c r="V45" s="26"/>
      <c r="W45" s="26"/>
      <c r="X45" s="26"/>
      <c r="Y45" s="26"/>
      <c r="Z45" s="26"/>
      <c r="AA45" s="26"/>
      <c r="AB45" s="26"/>
      <c r="AC45" s="26"/>
      <c r="AD45" s="26"/>
      <c r="AE45" s="28">
        <f t="shared" si="236"/>
        <v>0</v>
      </c>
      <c r="AG45" s="26"/>
      <c r="AH45" s="26"/>
      <c r="AI45" s="26"/>
      <c r="AJ45" s="26"/>
      <c r="AK45" s="26"/>
      <c r="AL45" s="26"/>
      <c r="AM45" s="26"/>
      <c r="AN45" s="26"/>
      <c r="AO45" s="26"/>
      <c r="AP45" s="26"/>
      <c r="AQ45" s="26"/>
      <c r="AR45" s="26"/>
      <c r="AS45" s="28">
        <f t="shared" si="237"/>
        <v>0</v>
      </c>
      <c r="AU45" s="26"/>
      <c r="AV45" s="26"/>
      <c r="AW45" s="26"/>
      <c r="AX45" s="26"/>
      <c r="AY45" s="26"/>
      <c r="AZ45" s="26"/>
      <c r="BA45" s="26"/>
      <c r="BB45" s="26"/>
      <c r="BC45" s="26"/>
      <c r="BD45" s="26"/>
      <c r="BE45" s="26"/>
      <c r="BF45" s="26"/>
      <c r="BG45" s="28">
        <f t="shared" si="238"/>
        <v>0</v>
      </c>
      <c r="BI45" s="26"/>
      <c r="BJ45" s="26"/>
      <c r="BK45" s="26"/>
      <c r="BL45" s="26"/>
      <c r="BM45" s="26"/>
      <c r="BN45" s="26"/>
      <c r="BO45" s="26"/>
      <c r="BP45" s="26"/>
      <c r="BQ45" s="26"/>
      <c r="BR45" s="26"/>
      <c r="BS45" s="26"/>
      <c r="BT45" s="26"/>
      <c r="BU45" s="28">
        <f t="shared" si="239"/>
        <v>0</v>
      </c>
      <c r="BW45" s="26"/>
      <c r="BX45" s="26"/>
      <c r="BY45" s="26"/>
      <c r="BZ45" s="26"/>
      <c r="CA45" s="26"/>
      <c r="CB45" s="26"/>
      <c r="CC45" s="26"/>
      <c r="CD45" s="26"/>
      <c r="CE45" s="26"/>
      <c r="CF45" s="26"/>
      <c r="CG45" s="26"/>
      <c r="CH45" s="26"/>
      <c r="CI45" s="28">
        <f t="shared" si="240"/>
        <v>0</v>
      </c>
    </row>
    <row r="46" spans="3:87" x14ac:dyDescent="0.3">
      <c r="C46" s="22" t="s">
        <v>7</v>
      </c>
      <c r="E46" s="27" cm="1">
        <f t="array" aca="1" ref="E46" ca="1">SUM(INDIRECT(ADDRESS(savings_min_row,COLUMN())&amp;":"&amp;ADDRESS(savings_max_row,COLUMN())))</f>
        <v>215</v>
      </c>
      <c r="F46" s="27" cm="1">
        <f t="array" aca="1" ref="F46" ca="1">SUM(INDIRECT(ADDRESS(savings_min_row,COLUMN())&amp;":"&amp;ADDRESS(savings_max_row,COLUMN())))</f>
        <v>58</v>
      </c>
      <c r="G46" s="27" cm="1">
        <f t="array" aca="1" ref="G46" ca="1">SUM(INDIRECT(ADDRESS(savings_min_row,COLUMN())&amp;":"&amp;ADDRESS(savings_max_row,COLUMN())))</f>
        <v>170</v>
      </c>
      <c r="H46" s="27" cm="1">
        <f t="array" aca="1" ref="H46" ca="1">SUM(INDIRECT(ADDRESS(savings_min_row,COLUMN())&amp;":"&amp;ADDRESS(savings_max_row,COLUMN())))</f>
        <v>160</v>
      </c>
      <c r="I46" s="27" cm="1">
        <f t="array" aca="1" ref="I46" ca="1">SUM(INDIRECT(ADDRESS(savings_min_row,COLUMN())&amp;":"&amp;ADDRESS(savings_max_row,COLUMN())))</f>
        <v>0</v>
      </c>
      <c r="J46" s="27" cm="1">
        <f t="array" aca="1" ref="J46" ca="1">SUM(INDIRECT(ADDRESS(savings_min_row,COLUMN())&amp;":"&amp;ADDRESS(savings_max_row,COLUMN())))</f>
        <v>362</v>
      </c>
      <c r="K46" s="27" cm="1">
        <f t="array" aca="1" ref="K46" ca="1">SUM(INDIRECT(ADDRESS(savings_min_row,COLUMN())&amp;":"&amp;ADDRESS(savings_max_row,COLUMN())))</f>
        <v>1065</v>
      </c>
      <c r="L46" s="27" cm="1">
        <f t="array" aca="1" ref="L46" ca="1">SUM(INDIRECT(ADDRESS(savings_min_row,COLUMN())&amp;":"&amp;ADDRESS(savings_max_row,COLUMN())))</f>
        <v>700</v>
      </c>
      <c r="M46" s="27" cm="1">
        <f t="array" aca="1" ref="M46" ca="1">SUM(INDIRECT(ADDRESS(savings_min_row,COLUMN())&amp;":"&amp;ADDRESS(savings_max_row,COLUMN())))</f>
        <v>700</v>
      </c>
      <c r="N46" s="27" cm="1">
        <f t="array" aca="1" ref="N46" ca="1">SUM(INDIRECT(ADDRESS(savings_min_row,COLUMN())&amp;":"&amp;ADDRESS(savings_max_row,COLUMN())))</f>
        <v>700</v>
      </c>
      <c r="O46" s="27" cm="1">
        <f t="array" aca="1" ref="O46" ca="1">SUM(INDIRECT(ADDRESS(savings_min_row,COLUMN())&amp;":"&amp;ADDRESS(savings_max_row,COLUMN())))</f>
        <v>500</v>
      </c>
      <c r="P46" s="27" cm="1">
        <f t="array" aca="1" ref="P46" ca="1">SUM(INDIRECT(ADDRESS(savings_min_row,COLUMN())&amp;":"&amp;ADDRESS(savings_max_row,COLUMN())))</f>
        <v>0</v>
      </c>
      <c r="Q46" s="27" cm="1">
        <f t="array" aca="1" ref="Q46" ca="1">SUM(INDIRECT(ADDRESS(savings_min_row,COLUMN())&amp;":"&amp;ADDRESS(savings_max_row,COLUMN())))</f>
        <v>4630</v>
      </c>
      <c r="S46" s="27" cm="1">
        <f t="array" aca="1" ref="S46" ca="1">SUM(INDIRECT(ADDRESS(savings_min_row,COLUMN())&amp;":"&amp;ADDRESS(savings_max_row,COLUMN())))</f>
        <v>697</v>
      </c>
      <c r="T46" s="27" cm="1">
        <f t="array" aca="1" ref="T46" ca="1">SUM(INDIRECT(ADDRESS(savings_min_row,COLUMN())&amp;":"&amp;ADDRESS(savings_max_row,COLUMN())))</f>
        <v>696.5</v>
      </c>
      <c r="U46" s="27" cm="1">
        <f t="array" aca="1" ref="U46" ca="1">SUM(INDIRECT(ADDRESS(savings_min_row,COLUMN())&amp;":"&amp;ADDRESS(savings_max_row,COLUMN())))</f>
        <v>696.5</v>
      </c>
      <c r="V46" s="27" cm="1">
        <f t="array" aca="1" ref="V46" ca="1">SUM(INDIRECT(ADDRESS(savings_min_row,COLUMN())&amp;":"&amp;ADDRESS(savings_max_row,COLUMN())))</f>
        <v>696.5</v>
      </c>
      <c r="W46" s="27" cm="1">
        <f t="array" aca="1" ref="W46" ca="1">SUM(INDIRECT(ADDRESS(savings_min_row,COLUMN())&amp;":"&amp;ADDRESS(savings_max_row,COLUMN())))</f>
        <v>496.5</v>
      </c>
      <c r="X46" s="27" cm="1">
        <f t="array" aca="1" ref="X46" ca="1">SUM(INDIRECT(ADDRESS(savings_min_row,COLUMN())&amp;":"&amp;ADDRESS(savings_max_row,COLUMN())))</f>
        <v>696.5</v>
      </c>
      <c r="Y46" s="27" cm="1">
        <f t="array" aca="1" ref="Y46" ca="1">SUM(INDIRECT(ADDRESS(savings_min_row,COLUMN())&amp;":"&amp;ADDRESS(savings_max_row,COLUMN())))</f>
        <v>696.5</v>
      </c>
      <c r="Z46" s="27" cm="1">
        <f t="array" aca="1" ref="Z46" ca="1">SUM(INDIRECT(ADDRESS(savings_min_row,COLUMN())&amp;":"&amp;ADDRESS(savings_max_row,COLUMN())))</f>
        <v>696.5</v>
      </c>
      <c r="AA46" s="27" cm="1">
        <f t="array" aca="1" ref="AA46" ca="1">SUM(INDIRECT(ADDRESS(savings_min_row,COLUMN())&amp;":"&amp;ADDRESS(savings_max_row,COLUMN())))</f>
        <v>696.5</v>
      </c>
      <c r="AB46" s="27" cm="1">
        <f t="array" aca="1" ref="AB46" ca="1">SUM(INDIRECT(ADDRESS(savings_min_row,COLUMN())&amp;":"&amp;ADDRESS(savings_max_row,COLUMN())))</f>
        <v>697</v>
      </c>
      <c r="AC46" s="27" cm="1">
        <f t="array" aca="1" ref="AC46" ca="1">SUM(INDIRECT(ADDRESS(savings_min_row,COLUMN())&amp;":"&amp;ADDRESS(savings_max_row,COLUMN())))</f>
        <v>697</v>
      </c>
      <c r="AD46" s="27" cm="1">
        <f t="array" aca="1" ref="AD46" ca="1">SUM(INDIRECT(ADDRESS(savings_min_row,COLUMN())&amp;":"&amp;ADDRESS(savings_max_row,COLUMN())))</f>
        <v>697</v>
      </c>
      <c r="AE46" s="27" cm="1">
        <f t="array" aca="1" ref="AE46" ca="1">SUM(INDIRECT(ADDRESS(savings_min_row,COLUMN())&amp;":"&amp;ADDRESS(savings_max_row,COLUMN())))</f>
        <v>8160</v>
      </c>
      <c r="AG46" s="27" cm="1">
        <f t="array" aca="1" ref="AG46" ca="1">SUM(INDIRECT(ADDRESS(savings_min_row,COLUMN())&amp;":"&amp;ADDRESS(savings_max_row,COLUMN())))</f>
        <v>0</v>
      </c>
      <c r="AH46" s="27" cm="1">
        <f t="array" aca="1" ref="AH46" ca="1">SUM(INDIRECT(ADDRESS(savings_min_row,COLUMN())&amp;":"&amp;ADDRESS(savings_max_row,COLUMN())))</f>
        <v>0</v>
      </c>
      <c r="AI46" s="27" cm="1">
        <f t="array" aca="1" ref="AI46" ca="1">SUM(INDIRECT(ADDRESS(savings_min_row,COLUMN())&amp;":"&amp;ADDRESS(savings_max_row,COLUMN())))</f>
        <v>0</v>
      </c>
      <c r="AJ46" s="27" cm="1">
        <f t="array" aca="1" ref="AJ46" ca="1">SUM(INDIRECT(ADDRESS(savings_min_row,COLUMN())&amp;":"&amp;ADDRESS(savings_max_row,COLUMN())))</f>
        <v>0</v>
      </c>
      <c r="AK46" s="27" cm="1">
        <f t="array" aca="1" ref="AK46" ca="1">SUM(INDIRECT(ADDRESS(savings_min_row,COLUMN())&amp;":"&amp;ADDRESS(savings_max_row,COLUMN())))</f>
        <v>0</v>
      </c>
      <c r="AL46" s="27" cm="1">
        <f t="array" aca="1" ref="AL46" ca="1">SUM(INDIRECT(ADDRESS(savings_min_row,COLUMN())&amp;":"&amp;ADDRESS(savings_max_row,COLUMN())))</f>
        <v>0</v>
      </c>
      <c r="AM46" s="27" cm="1">
        <f t="array" aca="1" ref="AM46" ca="1">SUM(INDIRECT(ADDRESS(savings_min_row,COLUMN())&amp;":"&amp;ADDRESS(savings_max_row,COLUMN())))</f>
        <v>0</v>
      </c>
      <c r="AN46" s="27" cm="1">
        <f t="array" aca="1" ref="AN46" ca="1">SUM(INDIRECT(ADDRESS(savings_min_row,COLUMN())&amp;":"&amp;ADDRESS(savings_max_row,COLUMN())))</f>
        <v>0</v>
      </c>
      <c r="AO46" s="27" cm="1">
        <f t="array" aca="1" ref="AO46" ca="1">SUM(INDIRECT(ADDRESS(savings_min_row,COLUMN())&amp;":"&amp;ADDRESS(savings_max_row,COLUMN())))</f>
        <v>0</v>
      </c>
      <c r="AP46" s="27" cm="1">
        <f t="array" aca="1" ref="AP46" ca="1">SUM(INDIRECT(ADDRESS(savings_min_row,COLUMN())&amp;":"&amp;ADDRESS(savings_max_row,COLUMN())))</f>
        <v>0</v>
      </c>
      <c r="AQ46" s="27" cm="1">
        <f t="array" aca="1" ref="AQ46" ca="1">SUM(INDIRECT(ADDRESS(savings_min_row,COLUMN())&amp;":"&amp;ADDRESS(savings_max_row,COLUMN())))</f>
        <v>0</v>
      </c>
      <c r="AR46" s="27" cm="1">
        <f t="array" aca="1" ref="AR46" ca="1">SUM(INDIRECT(ADDRESS(savings_min_row,COLUMN())&amp;":"&amp;ADDRESS(savings_max_row,COLUMN())))</f>
        <v>0</v>
      </c>
      <c r="AS46" s="27" cm="1">
        <f t="array" aca="1" ref="AS46" ca="1">SUM(INDIRECT(ADDRESS(savings_min_row,COLUMN())&amp;":"&amp;ADDRESS(savings_max_row,COLUMN())))</f>
        <v>0</v>
      </c>
      <c r="AU46" s="27" cm="1">
        <f t="array" aca="1" ref="AU46" ca="1">SUM(INDIRECT(ADDRESS(savings_min_row,COLUMN())&amp;":"&amp;ADDRESS(savings_max_row,COLUMN())))</f>
        <v>0</v>
      </c>
      <c r="AV46" s="27" cm="1">
        <f t="array" aca="1" ref="AV46" ca="1">SUM(INDIRECT(ADDRESS(savings_min_row,COLUMN())&amp;":"&amp;ADDRESS(savings_max_row,COLUMN())))</f>
        <v>0</v>
      </c>
      <c r="AW46" s="27" cm="1">
        <f t="array" aca="1" ref="AW46" ca="1">SUM(INDIRECT(ADDRESS(savings_min_row,COLUMN())&amp;":"&amp;ADDRESS(savings_max_row,COLUMN())))</f>
        <v>0</v>
      </c>
      <c r="AX46" s="27" cm="1">
        <f t="array" aca="1" ref="AX46" ca="1">SUM(INDIRECT(ADDRESS(savings_min_row,COLUMN())&amp;":"&amp;ADDRESS(savings_max_row,COLUMN())))</f>
        <v>0</v>
      </c>
      <c r="AY46" s="27" cm="1">
        <f t="array" aca="1" ref="AY46" ca="1">SUM(INDIRECT(ADDRESS(savings_min_row,COLUMN())&amp;":"&amp;ADDRESS(savings_max_row,COLUMN())))</f>
        <v>0</v>
      </c>
      <c r="AZ46" s="27" cm="1">
        <f t="array" aca="1" ref="AZ46" ca="1">SUM(INDIRECT(ADDRESS(savings_min_row,COLUMN())&amp;":"&amp;ADDRESS(savings_max_row,COLUMN())))</f>
        <v>0</v>
      </c>
      <c r="BA46" s="27" cm="1">
        <f t="array" aca="1" ref="BA46" ca="1">SUM(INDIRECT(ADDRESS(savings_min_row,COLUMN())&amp;":"&amp;ADDRESS(savings_max_row,COLUMN())))</f>
        <v>0</v>
      </c>
      <c r="BB46" s="27" cm="1">
        <f t="array" aca="1" ref="BB46" ca="1">SUM(INDIRECT(ADDRESS(savings_min_row,COLUMN())&amp;":"&amp;ADDRESS(savings_max_row,COLUMN())))</f>
        <v>0</v>
      </c>
      <c r="BC46" s="27" cm="1">
        <f t="array" aca="1" ref="BC46" ca="1">SUM(INDIRECT(ADDRESS(savings_min_row,COLUMN())&amp;":"&amp;ADDRESS(savings_max_row,COLUMN())))</f>
        <v>0</v>
      </c>
      <c r="BD46" s="27" cm="1">
        <f t="array" aca="1" ref="BD46" ca="1">SUM(INDIRECT(ADDRESS(savings_min_row,COLUMN())&amp;":"&amp;ADDRESS(savings_max_row,COLUMN())))</f>
        <v>0</v>
      </c>
      <c r="BE46" s="27" cm="1">
        <f t="array" aca="1" ref="BE46" ca="1">SUM(INDIRECT(ADDRESS(savings_min_row,COLUMN())&amp;":"&amp;ADDRESS(savings_max_row,COLUMN())))</f>
        <v>0</v>
      </c>
      <c r="BF46" s="27" cm="1">
        <f t="array" aca="1" ref="BF46" ca="1">SUM(INDIRECT(ADDRESS(savings_min_row,COLUMN())&amp;":"&amp;ADDRESS(savings_max_row,COLUMN())))</f>
        <v>0</v>
      </c>
      <c r="BG46" s="27" cm="1">
        <f t="array" aca="1" ref="BG46" ca="1">SUM(INDIRECT(ADDRESS(savings_min_row,COLUMN())&amp;":"&amp;ADDRESS(savings_max_row,COLUMN())))</f>
        <v>0</v>
      </c>
      <c r="BI46" s="27" cm="1">
        <f t="array" aca="1" ref="BI46" ca="1">SUM(INDIRECT(ADDRESS(savings_min_row,COLUMN())&amp;":"&amp;ADDRESS(savings_max_row,COLUMN())))</f>
        <v>0</v>
      </c>
      <c r="BJ46" s="27" cm="1">
        <f t="array" aca="1" ref="BJ46" ca="1">SUM(INDIRECT(ADDRESS(savings_min_row,COLUMN())&amp;":"&amp;ADDRESS(savings_max_row,COLUMN())))</f>
        <v>0</v>
      </c>
      <c r="BK46" s="27" cm="1">
        <f t="array" aca="1" ref="BK46" ca="1">SUM(INDIRECT(ADDRESS(savings_min_row,COLUMN())&amp;":"&amp;ADDRESS(savings_max_row,COLUMN())))</f>
        <v>0</v>
      </c>
      <c r="BL46" s="27" cm="1">
        <f t="array" aca="1" ref="BL46" ca="1">SUM(INDIRECT(ADDRESS(savings_min_row,COLUMN())&amp;":"&amp;ADDRESS(savings_max_row,COLUMN())))</f>
        <v>0</v>
      </c>
      <c r="BM46" s="27" cm="1">
        <f t="array" aca="1" ref="BM46" ca="1">SUM(INDIRECT(ADDRESS(savings_min_row,COLUMN())&amp;":"&amp;ADDRESS(savings_max_row,COLUMN())))</f>
        <v>0</v>
      </c>
      <c r="BN46" s="27" cm="1">
        <f t="array" aca="1" ref="BN46" ca="1">SUM(INDIRECT(ADDRESS(savings_min_row,COLUMN())&amp;":"&amp;ADDRESS(savings_max_row,COLUMN())))</f>
        <v>0</v>
      </c>
      <c r="BO46" s="27" cm="1">
        <f t="array" aca="1" ref="BO46" ca="1">SUM(INDIRECT(ADDRESS(savings_min_row,COLUMN())&amp;":"&amp;ADDRESS(savings_max_row,COLUMN())))</f>
        <v>0</v>
      </c>
      <c r="BP46" s="27" cm="1">
        <f t="array" aca="1" ref="BP46" ca="1">SUM(INDIRECT(ADDRESS(savings_min_row,COLUMN())&amp;":"&amp;ADDRESS(savings_max_row,COLUMN())))</f>
        <v>0</v>
      </c>
      <c r="BQ46" s="27" cm="1">
        <f t="array" aca="1" ref="BQ46" ca="1">SUM(INDIRECT(ADDRESS(savings_min_row,COLUMN())&amp;":"&amp;ADDRESS(savings_max_row,COLUMN())))</f>
        <v>0</v>
      </c>
      <c r="BR46" s="27" cm="1">
        <f t="array" aca="1" ref="BR46" ca="1">SUM(INDIRECT(ADDRESS(savings_min_row,COLUMN())&amp;":"&amp;ADDRESS(savings_max_row,COLUMN())))</f>
        <v>0</v>
      </c>
      <c r="BS46" s="27" cm="1">
        <f t="array" aca="1" ref="BS46" ca="1">SUM(INDIRECT(ADDRESS(savings_min_row,COLUMN())&amp;":"&amp;ADDRESS(savings_max_row,COLUMN())))</f>
        <v>0</v>
      </c>
      <c r="BT46" s="27" cm="1">
        <f t="array" aca="1" ref="BT46" ca="1">SUM(INDIRECT(ADDRESS(savings_min_row,COLUMN())&amp;":"&amp;ADDRESS(savings_max_row,COLUMN())))</f>
        <v>0</v>
      </c>
      <c r="BU46" s="27" cm="1">
        <f t="array" aca="1" ref="BU46" ca="1">SUM(INDIRECT(ADDRESS(savings_min_row,COLUMN())&amp;":"&amp;ADDRESS(savings_max_row,COLUMN())))</f>
        <v>0</v>
      </c>
      <c r="BW46" s="27" cm="1">
        <f t="array" aca="1" ref="BW46" ca="1">SUM(INDIRECT(ADDRESS(savings_min_row,COLUMN())&amp;":"&amp;ADDRESS(savings_max_row,COLUMN())))</f>
        <v>0</v>
      </c>
      <c r="BX46" s="27" cm="1">
        <f t="array" aca="1" ref="BX46" ca="1">SUM(INDIRECT(ADDRESS(savings_min_row,COLUMN())&amp;":"&amp;ADDRESS(savings_max_row,COLUMN())))</f>
        <v>0</v>
      </c>
      <c r="BY46" s="27" cm="1">
        <f t="array" aca="1" ref="BY46" ca="1">SUM(INDIRECT(ADDRESS(savings_min_row,COLUMN())&amp;":"&amp;ADDRESS(savings_max_row,COLUMN())))</f>
        <v>0</v>
      </c>
      <c r="BZ46" s="27" cm="1">
        <f t="array" aca="1" ref="BZ46" ca="1">SUM(INDIRECT(ADDRESS(savings_min_row,COLUMN())&amp;":"&amp;ADDRESS(savings_max_row,COLUMN())))</f>
        <v>0</v>
      </c>
      <c r="CA46" s="27" cm="1">
        <f t="array" aca="1" ref="CA46" ca="1">SUM(INDIRECT(ADDRESS(savings_min_row,COLUMN())&amp;":"&amp;ADDRESS(savings_max_row,COLUMN())))</f>
        <v>0</v>
      </c>
      <c r="CB46" s="27" cm="1">
        <f t="array" aca="1" ref="CB46" ca="1">SUM(INDIRECT(ADDRESS(savings_min_row,COLUMN())&amp;":"&amp;ADDRESS(savings_max_row,COLUMN())))</f>
        <v>0</v>
      </c>
      <c r="CC46" s="27" cm="1">
        <f t="array" aca="1" ref="CC46" ca="1">SUM(INDIRECT(ADDRESS(savings_min_row,COLUMN())&amp;":"&amp;ADDRESS(savings_max_row,COLUMN())))</f>
        <v>0</v>
      </c>
      <c r="CD46" s="27" cm="1">
        <f t="array" aca="1" ref="CD46" ca="1">SUM(INDIRECT(ADDRESS(savings_min_row,COLUMN())&amp;":"&amp;ADDRESS(savings_max_row,COLUMN())))</f>
        <v>0</v>
      </c>
      <c r="CE46" s="27" cm="1">
        <f t="array" aca="1" ref="CE46" ca="1">SUM(INDIRECT(ADDRESS(savings_min_row,COLUMN())&amp;":"&amp;ADDRESS(savings_max_row,COLUMN())))</f>
        <v>0</v>
      </c>
      <c r="CF46" s="27" cm="1">
        <f t="array" aca="1" ref="CF46" ca="1">SUM(INDIRECT(ADDRESS(savings_min_row,COLUMN())&amp;":"&amp;ADDRESS(savings_max_row,COLUMN())))</f>
        <v>0</v>
      </c>
      <c r="CG46" s="27" cm="1">
        <f t="array" aca="1" ref="CG46" ca="1">SUM(INDIRECT(ADDRESS(savings_min_row,COLUMN())&amp;":"&amp;ADDRESS(savings_max_row,COLUMN())))</f>
        <v>0</v>
      </c>
      <c r="CH46" s="27" cm="1">
        <f t="array" aca="1" ref="CH46" ca="1">SUM(INDIRECT(ADDRESS(savings_min_row,COLUMN())&amp;":"&amp;ADDRESS(savings_max_row,COLUMN())))</f>
        <v>0</v>
      </c>
      <c r="CI46" s="27" cm="1">
        <f t="array" aca="1" ref="CI46" ca="1">SUM(INDIRECT(ADDRESS(savings_min_row,COLUMN())&amp;":"&amp;ADDRESS(savings_max_row,COLUMN())))</f>
        <v>0</v>
      </c>
    </row>
  </sheetData>
  <mergeCells count="6">
    <mergeCell ref="BW5:CI5"/>
    <mergeCell ref="E5:Q5"/>
    <mergeCell ref="S5:AE5"/>
    <mergeCell ref="AG5:AS5"/>
    <mergeCell ref="AU5:BG5"/>
    <mergeCell ref="BI5:BU5"/>
  </mergeCells>
  <phoneticPr fontId="15" type="noConversion"/>
  <conditionalFormatting sqref="C10:C19 E10:Q19 S10:AE19 AG10:AS19 AU10:BG19 BI10:BU19 BW10:CI19">
    <cfRule type="expression" dxfId="33" priority="6">
      <formula>ROW(A10)&lt;=income_max_row</formula>
    </cfRule>
  </conditionalFormatting>
  <conditionalFormatting sqref="C23:C32 E23:Q32 S23:AE32 AG23:AS32 AU23:BG32 BI23:BU32 BW23:CI32">
    <cfRule type="expression" dxfId="32" priority="5">
      <formula>ROW(A23)&lt;=expenses_max_row</formula>
    </cfRule>
  </conditionalFormatting>
  <conditionalFormatting sqref="C36:C45 E36:Q45 S36:AE45 AG36:AS45 AU36:BG45 BI36:BU45 BW36:CI45">
    <cfRule type="expression" dxfId="31" priority="4">
      <formula>ROW(A36)&lt;=savings_max_row</formula>
    </cfRule>
  </conditionalFormatting>
  <conditionalFormatting sqref="E6:Q7 S6:AE7 AG6:AS7 AU6:BG7 BI6:BU7 BW6:CI7">
    <cfRule type="expression" dxfId="30" priority="1" stopIfTrue="1">
      <formula>AND(E$20=0,E$33=0,E$46=0)</formula>
    </cfRule>
    <cfRule type="expression" dxfId="29" priority="2" stopIfTrue="1">
      <formula>E$7=0</formula>
    </cfRule>
    <cfRule type="expression" dxfId="28" priority="3">
      <formula>E$7&lt;0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85FB-0A09-41D6-A97B-4B9A114AE329}">
  <sheetPr>
    <tabColor theme="0"/>
  </sheetPr>
  <dimension ref="B1:M911"/>
  <sheetViews>
    <sheetView showGridLines="0" tabSelected="1" zoomScaleNormal="100" workbookViewId="0">
      <pane ySplit="11" topLeftCell="A901" activePane="bottomLeft" state="frozen"/>
      <selection activeCell="B31" sqref="B31"/>
      <selection pane="bottomLeft" activeCell="F913" sqref="F913"/>
    </sheetView>
  </sheetViews>
  <sheetFormatPr defaultColWidth="9.109375" defaultRowHeight="14.4" x14ac:dyDescent="0.3"/>
  <cols>
    <col min="1" max="2" width="1.44140625" style="1" customWidth="1"/>
    <col min="3" max="4" width="18.5546875" style="1" customWidth="1"/>
    <col min="5" max="5" width="31" style="1" bestFit="1" customWidth="1"/>
    <col min="6" max="6" width="20.5546875" style="1" customWidth="1"/>
    <col min="7" max="7" width="43" style="1" customWidth="1"/>
    <col min="8" max="8" width="17.109375" style="1" customWidth="1"/>
    <col min="9" max="9" width="18.33203125" style="1" customWidth="1"/>
    <col min="10" max="16384" width="9.109375" style="1"/>
  </cols>
  <sheetData>
    <row r="1" spans="3:13" s="2" customFormat="1" ht="12.75" customHeight="1" x14ac:dyDescent="0.3">
      <c r="C1" s="3"/>
    </row>
    <row r="2" spans="3:13" s="2" customFormat="1" ht="33.6" x14ac:dyDescent="0.3">
      <c r="C2" s="5" t="s">
        <v>17</v>
      </c>
    </row>
    <row r="3" spans="3:13" s="4" customFormat="1" ht="12.75" customHeight="1" x14ac:dyDescent="0.3"/>
    <row r="6" spans="3:13" x14ac:dyDescent="0.3">
      <c r="C6" s="18"/>
      <c r="D6" s="16"/>
      <c r="E6" s="16"/>
      <c r="F6" s="16"/>
      <c r="G6" s="16"/>
      <c r="H6" s="18"/>
    </row>
    <row r="7" spans="3:13" x14ac:dyDescent="0.3">
      <c r="D7" s="15"/>
      <c r="E7" s="15"/>
      <c r="F7" s="15"/>
      <c r="G7" s="15"/>
    </row>
    <row r="8" spans="3:13" x14ac:dyDescent="0.3">
      <c r="D8" s="16"/>
      <c r="E8" s="17"/>
      <c r="F8" s="15"/>
      <c r="G8" s="15"/>
    </row>
    <row r="9" spans="3:13" x14ac:dyDescent="0.3">
      <c r="D9" s="15"/>
      <c r="E9" s="15"/>
      <c r="F9" s="15"/>
      <c r="G9" s="15"/>
    </row>
    <row r="11" spans="3:13" x14ac:dyDescent="0.3">
      <c r="C11" s="38" t="s">
        <v>18</v>
      </c>
      <c r="D11" s="38" t="s">
        <v>19</v>
      </c>
      <c r="E11" s="38" t="s">
        <v>20</v>
      </c>
      <c r="F11" s="38" t="s">
        <v>21</v>
      </c>
      <c r="G11" s="38" t="s">
        <v>22</v>
      </c>
      <c r="H11" s="42" t="s">
        <v>23</v>
      </c>
      <c r="I11" s="42" t="s">
        <v>24</v>
      </c>
    </row>
    <row r="12" spans="3:13" hidden="1" x14ac:dyDescent="0.3">
      <c r="C12" s="41">
        <v>45659</v>
      </c>
      <c r="D12" s="39" t="s">
        <v>5</v>
      </c>
      <c r="E12" s="39" t="s">
        <v>106</v>
      </c>
      <c r="F12" s="139">
        <v>200</v>
      </c>
      <c r="G12" s="40"/>
      <c r="H12" s="43" cm="1">
        <f t="array" ref="H12">SUMPRODUCT(Tracking[Amount],--(Tracking[Date]&lt;=Tracking[[#This Row],[Date]]),(Tracking[Type]&lt;&gt;"Income")*(-1)+(Tracking[Type]="Income"))</f>
        <v>95.19</v>
      </c>
      <c r="I12" s="51">
        <f>IF(AND(Tracking[[#This Row],[Type]]="Income",shift_late_income_status="Active",DAY(Tracking[[#This Row],[Date]])&gt;=shift_late_income_starting_day),DATE(YEAR(Tracking[[#This Row],[Date]]),MONTH(Tracking[[#This Row],[Date]])+1,1),Tracking[[#This Row],[Date]])</f>
        <v>45659</v>
      </c>
      <c r="K12" s="64"/>
      <c r="M12" s="64"/>
    </row>
    <row r="13" spans="3:13" hidden="1" x14ac:dyDescent="0.3">
      <c r="C13" s="121">
        <v>45659</v>
      </c>
      <c r="D13" s="122" t="s">
        <v>9</v>
      </c>
      <c r="E13" s="122" t="s">
        <v>10</v>
      </c>
      <c r="F13" s="142">
        <v>14.59</v>
      </c>
      <c r="G13" s="40"/>
      <c r="H13" s="123" cm="1">
        <f t="array" ref="H13">SUMPRODUCT(Tracking[Amount],--(Tracking[Date]&lt;=Tracking[[#This Row],[Date]]),(Tracking[Type]&lt;&gt;"Income")*(-1)+(Tracking[Type]="Income"))</f>
        <v>95.19</v>
      </c>
      <c r="I13" s="51">
        <f>IF(AND(Tracking[[#This Row],[Type]]="Income",shift_late_income_status="Active",DAY(Tracking[[#This Row],[Date]])&gt;=shift_late_income_starting_day),DATE(YEAR(Tracking[[#This Row],[Date]]),MONTH(Tracking[[#This Row],[Date]])+1,1),Tracking[[#This Row],[Date]])</f>
        <v>45659</v>
      </c>
      <c r="J13" s="138" t="str">
        <f>IF(C13&lt;&gt;"","","←Begin typing under the table and press enter to update bottom row.")</f>
        <v/>
      </c>
    </row>
    <row r="14" spans="3:13" hidden="1" x14ac:dyDescent="0.3">
      <c r="C14" s="65">
        <v>45659</v>
      </c>
      <c r="D14" s="66" t="s">
        <v>9</v>
      </c>
      <c r="E14" s="66" t="s">
        <v>111</v>
      </c>
      <c r="F14" s="140">
        <v>15</v>
      </c>
      <c r="G14" s="40" t="s">
        <v>114</v>
      </c>
      <c r="H14" s="67" cm="1">
        <f t="array" ref="H14">SUMPRODUCT(Tracking[Amount],--(Tracking[Date]&lt;=Tracking[[#This Row],[Date]]),(Tracking[Type]&lt;&gt;"Income")*(-1)+(Tracking[Type]="Income"))</f>
        <v>95.19</v>
      </c>
      <c r="I14" s="51">
        <f>IF(AND(Tracking[[#This Row],[Type]]="Income",shift_late_income_status="Active",DAY(Tracking[[#This Row],[Date]])&gt;=shift_late_income_starting_day),DATE(YEAR(Tracking[[#This Row],[Date]]),MONTH(Tracking[[#This Row],[Date]])+1,1),Tracking[[#This Row],[Date]])</f>
        <v>45659</v>
      </c>
    </row>
    <row r="15" spans="3:13" hidden="1" x14ac:dyDescent="0.3">
      <c r="C15" s="65">
        <v>45659</v>
      </c>
      <c r="D15" s="66" t="s">
        <v>9</v>
      </c>
      <c r="E15" s="66" t="s">
        <v>10</v>
      </c>
      <c r="F15" s="140">
        <v>18.510000000000002</v>
      </c>
      <c r="G15" s="40"/>
      <c r="H15" s="67" cm="1">
        <f t="array" ref="H15">SUMPRODUCT(Tracking[Amount],--(Tracking[Date]&lt;=Tracking[[#This Row],[Date]]),(Tracking[Type]&lt;&gt;"Income")*(-1)+(Tracking[Type]="Income"))</f>
        <v>95.19</v>
      </c>
      <c r="I15" s="51">
        <f>IF(AND(Tracking[[#This Row],[Type]]="Income",shift_late_income_status="Active",DAY(Tracking[[#This Row],[Date]])&gt;=shift_late_income_starting_day),DATE(YEAR(Tracking[[#This Row],[Date]]),MONTH(Tracking[[#This Row],[Date]])+1,1),Tracking[[#This Row],[Date]])</f>
        <v>45659</v>
      </c>
    </row>
    <row r="16" spans="3:13" hidden="1" x14ac:dyDescent="0.3">
      <c r="C16" s="65">
        <v>45659</v>
      </c>
      <c r="D16" s="66" t="s">
        <v>9</v>
      </c>
      <c r="E16" s="66" t="s">
        <v>11</v>
      </c>
      <c r="F16" s="140">
        <v>28.25</v>
      </c>
      <c r="G16" s="40"/>
      <c r="H16" s="67" cm="1">
        <f t="array" ref="H16">SUMPRODUCT(Tracking[Amount],--(Tracking[Date]&lt;=Tracking[[#This Row],[Date]]),(Tracking[Type]&lt;&gt;"Income")*(-1)+(Tracking[Type]="Income"))</f>
        <v>95.19</v>
      </c>
      <c r="I16" s="51">
        <f>IF(AND(Tracking[[#This Row],[Type]]="Income",shift_late_income_status="Active",DAY(Tracking[[#This Row],[Date]])&gt;=shift_late_income_starting_day),DATE(YEAR(Tracking[[#This Row],[Date]]),MONTH(Tracking[[#This Row],[Date]])+1,1),Tracking[[#This Row],[Date]])</f>
        <v>45659</v>
      </c>
    </row>
    <row r="17" spans="2:9" hidden="1" x14ac:dyDescent="0.3">
      <c r="C17" s="65">
        <v>45659</v>
      </c>
      <c r="D17" s="66" t="s">
        <v>9</v>
      </c>
      <c r="E17" s="66" t="s">
        <v>11</v>
      </c>
      <c r="F17" s="140">
        <v>28.46</v>
      </c>
      <c r="G17" s="40"/>
      <c r="H17" s="67" cm="1">
        <f t="array" ref="H17">SUMPRODUCT(Tracking[Amount],--(Tracking[Date]&lt;=Tracking[[#This Row],[Date]]),(Tracking[Type]&lt;&gt;"Income")*(-1)+(Tracking[Type]="Income"))</f>
        <v>95.19</v>
      </c>
      <c r="I17" s="51">
        <f>IF(AND(Tracking[[#This Row],[Type]]="Income",shift_late_income_status="Active",DAY(Tracking[[#This Row],[Date]])&gt;=shift_late_income_starting_day),DATE(YEAR(Tracking[[#This Row],[Date]]),MONTH(Tracking[[#This Row],[Date]])+1,1),Tracking[[#This Row],[Date]])</f>
        <v>45659</v>
      </c>
    </row>
    <row r="18" spans="2:9" hidden="1" x14ac:dyDescent="0.3">
      <c r="C18" s="65">
        <v>45660</v>
      </c>
      <c r="D18" s="66" t="s">
        <v>9</v>
      </c>
      <c r="E18" s="66" t="s">
        <v>10</v>
      </c>
      <c r="F18" s="140">
        <v>10.07</v>
      </c>
      <c r="G18" s="40"/>
      <c r="H18" s="67" cm="1">
        <f t="array" ref="H18">SUMPRODUCT(Tracking[Amount],--(Tracking[Date]&lt;=Tracking[[#This Row],[Date]]),(Tracking[Type]&lt;&gt;"Income")*(-1)+(Tracking[Type]="Income"))</f>
        <v>71.600000000000009</v>
      </c>
      <c r="I18" s="51">
        <f>IF(AND(Tracking[[#This Row],[Type]]="Income",shift_late_income_status="Active",DAY(Tracking[[#This Row],[Date]])&gt;=shift_late_income_starting_day),DATE(YEAR(Tracking[[#This Row],[Date]]),MONTH(Tracking[[#This Row],[Date]])+1,1),Tracking[[#This Row],[Date]])</f>
        <v>45660</v>
      </c>
    </row>
    <row r="19" spans="2:9" hidden="1" x14ac:dyDescent="0.3">
      <c r="C19" s="65">
        <v>45660</v>
      </c>
      <c r="D19" s="66" t="s">
        <v>9</v>
      </c>
      <c r="E19" s="66" t="s">
        <v>10</v>
      </c>
      <c r="F19" s="140">
        <v>13.52</v>
      </c>
      <c r="G19" s="40"/>
      <c r="H19" s="67" cm="1">
        <f t="array" ref="H19">SUMPRODUCT(Tracking[Amount],--(Tracking[Date]&lt;=Tracking[[#This Row],[Date]]),(Tracking[Type]&lt;&gt;"Income")*(-1)+(Tracking[Type]="Income"))</f>
        <v>71.600000000000009</v>
      </c>
      <c r="I19" s="51">
        <f>IF(AND(Tracking[[#This Row],[Type]]="Income",shift_late_income_status="Active",DAY(Tracking[[#This Row],[Date]])&gt;=shift_late_income_starting_day),DATE(YEAR(Tracking[[#This Row],[Date]]),MONTH(Tracking[[#This Row],[Date]])+1,1),Tracking[[#This Row],[Date]])</f>
        <v>45660</v>
      </c>
    </row>
    <row r="20" spans="2:9" hidden="1" x14ac:dyDescent="0.3">
      <c r="C20" s="65">
        <v>45663</v>
      </c>
      <c r="D20" s="66" t="s">
        <v>9</v>
      </c>
      <c r="E20" s="66" t="s">
        <v>10</v>
      </c>
      <c r="F20" s="140">
        <v>1.5</v>
      </c>
      <c r="G20" s="40"/>
      <c r="H20" s="67" cm="1">
        <f t="array" ref="H20">SUMPRODUCT(Tracking[Amount],--(Tracking[Date]&lt;=Tracking[[#This Row],[Date]]),(Tracking[Type]&lt;&gt;"Income")*(-1)+(Tracking[Type]="Income"))</f>
        <v>21.400000000000006</v>
      </c>
      <c r="I20" s="51">
        <f>IF(AND(Tracking[[#This Row],[Type]]="Income",shift_late_income_status="Active",DAY(Tracking[[#This Row],[Date]])&gt;=shift_late_income_starting_day),DATE(YEAR(Tracking[[#This Row],[Date]]),MONTH(Tracking[[#This Row],[Date]])+1,1),Tracking[[#This Row],[Date]])</f>
        <v>45663</v>
      </c>
    </row>
    <row r="21" spans="2:9" hidden="1" x14ac:dyDescent="0.3">
      <c r="C21" s="65">
        <v>45663</v>
      </c>
      <c r="D21" s="66" t="s">
        <v>9</v>
      </c>
      <c r="E21" s="66" t="s">
        <v>10</v>
      </c>
      <c r="F21" s="139">
        <v>10.6</v>
      </c>
      <c r="G21" s="40"/>
      <c r="H21" s="67" cm="1">
        <f t="array" ref="H21">SUMPRODUCT(Tracking[Amount],--(Tracking[Date]&lt;=Tracking[[#This Row],[Date]]),(Tracking[Type]&lt;&gt;"Income")*(-1)+(Tracking[Type]="Income"))</f>
        <v>21.400000000000006</v>
      </c>
      <c r="I21" s="51">
        <f>IF(AND(Tracking[[#This Row],[Type]]="Income",shift_late_income_status="Active",DAY(Tracking[[#This Row],[Date]])&gt;=shift_late_income_starting_day),DATE(YEAR(Tracking[[#This Row],[Date]]),MONTH(Tracking[[#This Row],[Date]])+1,1),Tracking[[#This Row],[Date]])</f>
        <v>45663</v>
      </c>
    </row>
    <row r="22" spans="2:9" hidden="1" x14ac:dyDescent="0.3">
      <c r="C22" s="65">
        <v>45663</v>
      </c>
      <c r="D22" s="66" t="s">
        <v>9</v>
      </c>
      <c r="E22" s="66" t="s">
        <v>10</v>
      </c>
      <c r="F22" s="140">
        <v>38.1</v>
      </c>
      <c r="G22" s="40"/>
      <c r="H22" s="67" cm="1">
        <f t="array" ref="H22">SUMPRODUCT(Tracking[Amount],--(Tracking[Date]&lt;=Tracking[[#This Row],[Date]]),(Tracking[Type]&lt;&gt;"Income")*(-1)+(Tracking[Type]="Income"))</f>
        <v>21.400000000000006</v>
      </c>
      <c r="I22" s="51">
        <f>IF(AND(Tracking[[#This Row],[Type]]="Income",shift_late_income_status="Active",DAY(Tracking[[#This Row],[Date]])&gt;=shift_late_income_starting_day),DATE(YEAR(Tracking[[#This Row],[Date]]),MONTH(Tracking[[#This Row],[Date]])+1,1),Tracking[[#This Row],[Date]])</f>
        <v>45663</v>
      </c>
    </row>
    <row r="23" spans="2:9" hidden="1" x14ac:dyDescent="0.3">
      <c r="C23" s="41">
        <v>45672</v>
      </c>
      <c r="D23" s="39" t="s">
        <v>5</v>
      </c>
      <c r="E23" s="39" t="s">
        <v>104</v>
      </c>
      <c r="F23" s="139">
        <v>33.53</v>
      </c>
      <c r="G23" s="40"/>
      <c r="H23" s="43" cm="1">
        <f t="array" ref="H23">SUMPRODUCT(Tracking[Amount],--(Tracking[Date]&lt;=Tracking[[#This Row],[Date]]),(Tracking[Type]&lt;&gt;"Income")*(-1)+(Tracking[Type]="Income"))</f>
        <v>65.850000000000009</v>
      </c>
      <c r="I23" s="51">
        <f>IF(AND(Tracking[[#This Row],[Type]]="Income",shift_late_income_status="Active",DAY(Tracking[[#This Row],[Date]])&gt;=shift_late_income_starting_day),DATE(YEAR(Tracking[[#This Row],[Date]]),MONTH(Tracking[[#This Row],[Date]])+1,1),Tracking[[#This Row],[Date]])</f>
        <v>45672</v>
      </c>
    </row>
    <row r="24" spans="2:9" hidden="1" x14ac:dyDescent="0.3">
      <c r="C24" s="41">
        <v>45672</v>
      </c>
      <c r="D24" s="39" t="s">
        <v>5</v>
      </c>
      <c r="E24" s="39" t="s">
        <v>104</v>
      </c>
      <c r="F24" s="139">
        <v>10.92</v>
      </c>
      <c r="G24" s="40"/>
      <c r="H24" s="43" cm="1">
        <f t="array" ref="H24">SUMPRODUCT(Tracking[Amount],--(Tracking[Date]&lt;=Tracking[[#This Row],[Date]]),(Tracking[Type]&lt;&gt;"Income")*(-1)+(Tracking[Type]="Income"))</f>
        <v>65.850000000000009</v>
      </c>
      <c r="I24" s="51">
        <f>IF(AND(Tracking[[#This Row],[Type]]="Income",shift_late_income_status="Active",DAY(Tracking[[#This Row],[Date]])&gt;=shift_late_income_starting_day),DATE(YEAR(Tracking[[#This Row],[Date]]),MONTH(Tracking[[#This Row],[Date]])+1,1),Tracking[[#This Row],[Date]])</f>
        <v>45672</v>
      </c>
    </row>
    <row r="25" spans="2:9" hidden="1" x14ac:dyDescent="0.3">
      <c r="C25" s="65">
        <v>45673</v>
      </c>
      <c r="D25" s="66" t="s">
        <v>9</v>
      </c>
      <c r="E25" s="66" t="s">
        <v>10</v>
      </c>
      <c r="F25" s="140">
        <v>17.920000000000002</v>
      </c>
      <c r="G25" s="40"/>
      <c r="H25" s="67" cm="1">
        <f t="array" ref="H25">SUMPRODUCT(Tracking[Amount],--(Tracking[Date]&lt;=Tracking[[#This Row],[Date]]),(Tracking[Type]&lt;&gt;"Income")*(-1)+(Tracking[Type]="Income"))</f>
        <v>47.930000000000007</v>
      </c>
      <c r="I25" s="51">
        <f>IF(AND(Tracking[[#This Row],[Type]]="Income",shift_late_income_status="Active",DAY(Tracking[[#This Row],[Date]])&gt;=shift_late_income_starting_day),DATE(YEAR(Tracking[[#This Row],[Date]]),MONTH(Tracking[[#This Row],[Date]])+1,1),Tracking[[#This Row],[Date]])</f>
        <v>45673</v>
      </c>
    </row>
    <row r="26" spans="2:9" hidden="1" x14ac:dyDescent="0.3">
      <c r="C26" s="65">
        <v>45678</v>
      </c>
      <c r="D26" s="66" t="s">
        <v>9</v>
      </c>
      <c r="E26" s="66" t="s">
        <v>10</v>
      </c>
      <c r="F26" s="140">
        <v>9.2899999999999991</v>
      </c>
      <c r="G26" s="40"/>
      <c r="H26" s="67" cm="1">
        <f t="array" ref="H26">SUMPRODUCT(Tracking[Amount],--(Tracking[Date]&lt;=Tracking[[#This Row],[Date]]),(Tracking[Type]&lt;&gt;"Income")*(-1)+(Tracking[Type]="Income"))</f>
        <v>-36.189999999999991</v>
      </c>
      <c r="I26" s="51">
        <f>IF(AND(Tracking[[#This Row],[Type]]="Income",shift_late_income_status="Active",DAY(Tracking[[#This Row],[Date]])&gt;=shift_late_income_starting_day),DATE(YEAR(Tracking[[#This Row],[Date]]),MONTH(Tracking[[#This Row],[Date]])+1,1),Tracking[[#This Row],[Date]])</f>
        <v>45678</v>
      </c>
    </row>
    <row r="27" spans="2:9" hidden="1" x14ac:dyDescent="0.3">
      <c r="C27" s="41">
        <v>45678</v>
      </c>
      <c r="D27" s="39" t="s">
        <v>9</v>
      </c>
      <c r="E27" s="39" t="s">
        <v>10</v>
      </c>
      <c r="F27" s="139">
        <v>26.68</v>
      </c>
      <c r="G27" s="40"/>
      <c r="H27" s="43" cm="1">
        <f t="array" ref="H27">SUMPRODUCT(Tracking[Amount],--(Tracking[Date]&lt;=Tracking[[#This Row],[Date]]),(Tracking[Type]&lt;&gt;"Income")*(-1)+(Tracking[Type]="Income"))</f>
        <v>-36.189999999999991</v>
      </c>
      <c r="I27" s="51">
        <f>IF(AND(Tracking[[#This Row],[Type]]="Income",shift_late_income_status="Active",DAY(Tracking[[#This Row],[Date]])&gt;=shift_late_income_starting_day),DATE(YEAR(Tracking[[#This Row],[Date]]),MONTH(Tracking[[#This Row],[Date]])+1,1),Tracking[[#This Row],[Date]])</f>
        <v>45678</v>
      </c>
    </row>
    <row r="28" spans="2:9" hidden="1" x14ac:dyDescent="0.3">
      <c r="C28" s="41">
        <v>45678</v>
      </c>
      <c r="D28" s="39" t="s">
        <v>9</v>
      </c>
      <c r="E28" s="39" t="s">
        <v>10</v>
      </c>
      <c r="F28" s="139">
        <v>48.15</v>
      </c>
      <c r="G28" s="40"/>
      <c r="H28" s="43" cm="1">
        <f t="array" ref="H28">SUMPRODUCT(Tracking[Amount],--(Tracking[Date]&lt;=Tracking[[#This Row],[Date]]),(Tracking[Type]&lt;&gt;"Income")*(-1)+(Tracking[Type]="Income"))</f>
        <v>-36.189999999999991</v>
      </c>
      <c r="I28" s="51">
        <f>IF(AND(Tracking[[#This Row],[Type]]="Income",shift_late_income_status="Active",DAY(Tracking[[#This Row],[Date]])&gt;=shift_late_income_starting_day),DATE(YEAR(Tracking[[#This Row],[Date]]),MONTH(Tracking[[#This Row],[Date]])+1,1),Tracking[[#This Row],[Date]])</f>
        <v>45678</v>
      </c>
    </row>
    <row r="29" spans="2:9" hidden="1" x14ac:dyDescent="0.3">
      <c r="C29" s="41">
        <v>45680</v>
      </c>
      <c r="D29" s="39" t="s">
        <v>5</v>
      </c>
      <c r="E29" s="39" t="s">
        <v>104</v>
      </c>
      <c r="F29" s="139">
        <v>16.25</v>
      </c>
      <c r="G29" s="40"/>
      <c r="H29" s="43" cm="1">
        <f t="array" ref="H29">SUMPRODUCT(Tracking[Amount],--(Tracking[Date]&lt;=Tracking[[#This Row],[Date]]),(Tracking[Type]&lt;&gt;"Income")*(-1)+(Tracking[Type]="Income"))</f>
        <v>-19.939999999999991</v>
      </c>
      <c r="I29" s="51">
        <f>IF(AND(Tracking[[#This Row],[Type]]="Income",shift_late_income_status="Active",DAY(Tracking[[#This Row],[Date]])&gt;=shift_late_income_starting_day),DATE(YEAR(Tracking[[#This Row],[Date]]),MONTH(Tracking[[#This Row],[Date]])+1,1),Tracking[[#This Row],[Date]])</f>
        <v>45680</v>
      </c>
    </row>
    <row r="30" spans="2:9" hidden="1" x14ac:dyDescent="0.3">
      <c r="C30" s="41">
        <v>45684</v>
      </c>
      <c r="D30" s="39" t="s">
        <v>9</v>
      </c>
      <c r="E30" s="39" t="s">
        <v>11</v>
      </c>
      <c r="F30" s="139">
        <v>11.81</v>
      </c>
      <c r="G30" s="40"/>
      <c r="H30" s="43" cm="1">
        <f t="array" ref="H30">SUMPRODUCT(Tracking[Amount],--(Tracking[Date]&lt;=Tracking[[#This Row],[Date]]),(Tracking[Type]&lt;&gt;"Income")*(-1)+(Tracking[Type]="Income"))</f>
        <v>-48.949999999999989</v>
      </c>
      <c r="I30" s="51">
        <f>IF(AND(Tracking[[#This Row],[Type]]="Income",shift_late_income_status="Active",DAY(Tracking[[#This Row],[Date]])&gt;=shift_late_income_starting_day),DATE(YEAR(Tracking[[#This Row],[Date]]),MONTH(Tracking[[#This Row],[Date]])+1,1),Tracking[[#This Row],[Date]])</f>
        <v>45684</v>
      </c>
    </row>
    <row r="31" spans="2:9" hidden="1" x14ac:dyDescent="0.3">
      <c r="B31" s="120"/>
      <c r="C31" s="41">
        <v>45684</v>
      </c>
      <c r="D31" s="39" t="s">
        <v>9</v>
      </c>
      <c r="E31" s="39" t="s">
        <v>10</v>
      </c>
      <c r="F31" s="139">
        <v>17.2</v>
      </c>
      <c r="G31" s="40"/>
      <c r="H31" s="43" cm="1">
        <f t="array" ref="H31">SUMPRODUCT(Tracking[Amount],--(Tracking[Date]&lt;=Tracking[[#This Row],[Date]]),(Tracking[Type]&lt;&gt;"Income")*(-1)+(Tracking[Type]="Income"))</f>
        <v>-48.949999999999989</v>
      </c>
      <c r="I31" s="51">
        <f>IF(AND(Tracking[[#This Row],[Type]]="Income",shift_late_income_status="Active",DAY(Tracking[[#This Row],[Date]])&gt;=shift_late_income_starting_day),DATE(YEAR(Tracking[[#This Row],[Date]]),MONTH(Tracking[[#This Row],[Date]])+1,1),Tracking[[#This Row],[Date]])</f>
        <v>45684</v>
      </c>
    </row>
    <row r="32" spans="2:9" hidden="1" x14ac:dyDescent="0.3">
      <c r="C32" s="41">
        <v>45685</v>
      </c>
      <c r="D32" s="39" t="s">
        <v>9</v>
      </c>
      <c r="E32" s="39" t="s">
        <v>12</v>
      </c>
      <c r="F32" s="139">
        <v>15.74</v>
      </c>
      <c r="G32" s="40"/>
      <c r="H32" s="43" cm="1">
        <f t="array" ref="H32">SUMPRODUCT(Tracking[Amount],--(Tracking[Date]&lt;=Tracking[[#This Row],[Date]]),(Tracking[Type]&lt;&gt;"Income")*(-1)+(Tracking[Type]="Income"))</f>
        <v>-64.689999999999984</v>
      </c>
      <c r="I32" s="51">
        <f>IF(AND(Tracking[[#This Row],[Type]]="Income",shift_late_income_status="Active",DAY(Tracking[[#This Row],[Date]])&gt;=shift_late_income_starting_day),DATE(YEAR(Tracking[[#This Row],[Date]]),MONTH(Tracking[[#This Row],[Date]])+1,1),Tracking[[#This Row],[Date]])</f>
        <v>45685</v>
      </c>
    </row>
    <row r="33" spans="3:9" hidden="1" x14ac:dyDescent="0.3">
      <c r="C33" s="65">
        <v>45686</v>
      </c>
      <c r="D33" s="66" t="s">
        <v>5</v>
      </c>
      <c r="E33" s="66" t="s">
        <v>106</v>
      </c>
      <c r="F33" s="141">
        <v>225</v>
      </c>
      <c r="G33" s="40"/>
      <c r="H33" s="67" cm="1">
        <f t="array" ref="H33">SUMPRODUCT(Tracking[Amount],--(Tracking[Date]&lt;=Tracking[[#This Row],[Date]]),(Tracking[Type]&lt;&gt;"Income")*(-1)+(Tracking[Type]="Income"))</f>
        <v>145.52000000000001</v>
      </c>
      <c r="I33" s="51">
        <f>IF(AND(Tracking[[#This Row],[Type]]="Income",shift_late_income_status="Active",DAY(Tracking[[#This Row],[Date]])&gt;=shift_late_income_starting_day),DATE(YEAR(Tracking[[#This Row],[Date]]),MONTH(Tracking[[#This Row],[Date]])+1,1),Tracking[[#This Row],[Date]])</f>
        <v>45689</v>
      </c>
    </row>
    <row r="34" spans="3:9" hidden="1" x14ac:dyDescent="0.3">
      <c r="C34" s="41">
        <v>45686</v>
      </c>
      <c r="D34" s="39" t="s">
        <v>9</v>
      </c>
      <c r="E34" s="39" t="s">
        <v>11</v>
      </c>
      <c r="F34" s="139">
        <v>14.79</v>
      </c>
      <c r="G34" s="40"/>
      <c r="H34" s="43" cm="1">
        <f t="array" ref="H34">SUMPRODUCT(Tracking[Amount],--(Tracking[Date]&lt;=Tracking[[#This Row],[Date]]),(Tracking[Type]&lt;&gt;"Income")*(-1)+(Tracking[Type]="Income"))</f>
        <v>145.52000000000001</v>
      </c>
      <c r="I34" s="51">
        <f>IF(AND(Tracking[[#This Row],[Type]]="Income",shift_late_income_status="Active",DAY(Tracking[[#This Row],[Date]])&gt;=shift_late_income_starting_day),DATE(YEAR(Tracking[[#This Row],[Date]]),MONTH(Tracking[[#This Row],[Date]])+1,1),Tracking[[#This Row],[Date]])</f>
        <v>45686</v>
      </c>
    </row>
    <row r="35" spans="3:9" hidden="1" x14ac:dyDescent="0.3">
      <c r="C35" s="65">
        <v>45688</v>
      </c>
      <c r="D35" s="66" t="s">
        <v>5</v>
      </c>
      <c r="E35" s="66" t="s">
        <v>103</v>
      </c>
      <c r="F35" s="140">
        <v>129.84</v>
      </c>
      <c r="G35" s="40"/>
      <c r="H35" s="67" cm="1">
        <f t="array" ref="H35">SUMPRODUCT(Tracking[Amount],--(Tracking[Date]&lt;=Tracking[[#This Row],[Date]]),(Tracking[Type]&lt;&gt;"Income")*(-1)+(Tracking[Type]="Income"))</f>
        <v>275.36</v>
      </c>
      <c r="I35" s="51">
        <f>IF(AND(Tracking[[#This Row],[Type]]="Income",shift_late_income_status="Active",DAY(Tracking[[#This Row],[Date]])&gt;=shift_late_income_starting_day),DATE(YEAR(Tracking[[#This Row],[Date]]),MONTH(Tracking[[#This Row],[Date]])+1,1),Tracking[[#This Row],[Date]])</f>
        <v>45689</v>
      </c>
    </row>
    <row r="36" spans="3:9" hidden="1" x14ac:dyDescent="0.3">
      <c r="C36" s="41">
        <v>45690</v>
      </c>
      <c r="D36" s="39" t="s">
        <v>5</v>
      </c>
      <c r="E36" s="39" t="s">
        <v>104</v>
      </c>
      <c r="F36" s="139">
        <v>19.760000000000002</v>
      </c>
      <c r="G36" s="40"/>
      <c r="H36" s="43" cm="1">
        <f t="array" ref="H36">SUMPRODUCT(Tracking[Amount],--(Tracking[Date]&lt;=Tracking[[#This Row],[Date]]),(Tracking[Type]&lt;&gt;"Income")*(-1)+(Tracking[Type]="Income"))</f>
        <v>295.12</v>
      </c>
      <c r="I36" s="51">
        <f>IF(AND(Tracking[[#This Row],[Type]]="Income",shift_late_income_status="Active",DAY(Tracking[[#This Row],[Date]])&gt;=shift_late_income_starting_day),DATE(YEAR(Tracking[[#This Row],[Date]]),MONTH(Tracking[[#This Row],[Date]])+1,1),Tracking[[#This Row],[Date]])</f>
        <v>45690</v>
      </c>
    </row>
    <row r="37" spans="3:9" hidden="1" x14ac:dyDescent="0.3">
      <c r="C37" s="41">
        <v>45691</v>
      </c>
      <c r="D37" s="39" t="s">
        <v>9</v>
      </c>
      <c r="E37" s="39" t="s">
        <v>108</v>
      </c>
      <c r="F37" s="139">
        <v>33.549999999999997</v>
      </c>
      <c r="G37" s="40" t="s">
        <v>113</v>
      </c>
      <c r="H37" s="43" cm="1">
        <f t="array" ref="H37">SUMPRODUCT(Tracking[Amount],--(Tracking[Date]&lt;=Tracking[[#This Row],[Date]]),(Tracking[Type]&lt;&gt;"Income")*(-1)+(Tracking[Type]="Income"))</f>
        <v>184.08999999999997</v>
      </c>
      <c r="I37" s="51">
        <f>IF(AND(Tracking[[#This Row],[Type]]="Income",shift_late_income_status="Active",DAY(Tracking[[#This Row],[Date]])&gt;=shift_late_income_starting_day),DATE(YEAR(Tracking[[#This Row],[Date]]),MONTH(Tracking[[#This Row],[Date]])+1,1),Tracking[[#This Row],[Date]])</f>
        <v>45691</v>
      </c>
    </row>
    <row r="38" spans="3:9" hidden="1" x14ac:dyDescent="0.3">
      <c r="C38" s="41">
        <v>45691</v>
      </c>
      <c r="D38" s="39" t="s">
        <v>9</v>
      </c>
      <c r="E38" s="39" t="s">
        <v>10</v>
      </c>
      <c r="F38" s="139">
        <v>44.9</v>
      </c>
      <c r="G38" s="40"/>
      <c r="H38" s="43" cm="1">
        <f t="array" ref="H38">SUMPRODUCT(Tracking[Amount],--(Tracking[Date]&lt;=Tracking[[#This Row],[Date]]),(Tracking[Type]&lt;&gt;"Income")*(-1)+(Tracking[Type]="Income"))</f>
        <v>184.08999999999997</v>
      </c>
      <c r="I38" s="51">
        <f>IF(AND(Tracking[[#This Row],[Type]]="Income",shift_late_income_status="Active",DAY(Tracking[[#This Row],[Date]])&gt;=shift_late_income_starting_day),DATE(YEAR(Tracking[[#This Row],[Date]]),MONTH(Tracking[[#This Row],[Date]])+1,1),Tracking[[#This Row],[Date]])</f>
        <v>45691</v>
      </c>
    </row>
    <row r="39" spans="3:9" hidden="1" x14ac:dyDescent="0.3">
      <c r="C39" s="41">
        <v>45691</v>
      </c>
      <c r="D39" s="39" t="s">
        <v>9</v>
      </c>
      <c r="E39" s="39" t="s">
        <v>10</v>
      </c>
      <c r="F39" s="139">
        <v>32.58</v>
      </c>
      <c r="G39" s="40"/>
      <c r="H39" s="43" cm="1">
        <f t="array" ref="H39">SUMPRODUCT(Tracking[Amount],--(Tracking[Date]&lt;=Tracking[[#This Row],[Date]]),(Tracking[Type]&lt;&gt;"Income")*(-1)+(Tracking[Type]="Income"))</f>
        <v>184.08999999999997</v>
      </c>
      <c r="I39" s="51">
        <f>IF(AND(Tracking[[#This Row],[Type]]="Income",shift_late_income_status="Active",DAY(Tracking[[#This Row],[Date]])&gt;=shift_late_income_starting_day),DATE(YEAR(Tracking[[#This Row],[Date]]),MONTH(Tracking[[#This Row],[Date]])+1,1),Tracking[[#This Row],[Date]])</f>
        <v>45691</v>
      </c>
    </row>
    <row r="40" spans="3:9" hidden="1" x14ac:dyDescent="0.3">
      <c r="C40" s="41">
        <v>45692</v>
      </c>
      <c r="D40" s="39" t="s">
        <v>9</v>
      </c>
      <c r="E40" s="39" t="s">
        <v>11</v>
      </c>
      <c r="F40" s="139">
        <v>64.16</v>
      </c>
      <c r="G40" s="40" t="s">
        <v>115</v>
      </c>
      <c r="H40" s="43" cm="1">
        <f t="array" ref="H40">SUMPRODUCT(Tracking[Amount],--(Tracking[Date]&lt;=Tracking[[#This Row],[Date]]),(Tracking[Type]&lt;&gt;"Income")*(-1)+(Tracking[Type]="Income"))</f>
        <v>119.92999999999998</v>
      </c>
      <c r="I40" s="51">
        <f>IF(AND(Tracking[[#This Row],[Type]]="Income",shift_late_income_status="Active",DAY(Tracking[[#This Row],[Date]])&gt;=shift_late_income_starting_day),DATE(YEAR(Tracking[[#This Row],[Date]]),MONTH(Tracking[[#This Row],[Date]])+1,1),Tracking[[#This Row],[Date]])</f>
        <v>45692</v>
      </c>
    </row>
    <row r="41" spans="3:9" hidden="1" x14ac:dyDescent="0.3">
      <c r="C41" s="41">
        <v>45695</v>
      </c>
      <c r="D41" s="39" t="s">
        <v>5</v>
      </c>
      <c r="E41" s="39" t="s">
        <v>105</v>
      </c>
      <c r="F41" s="139">
        <v>80</v>
      </c>
      <c r="G41" s="40"/>
      <c r="H41" s="43" cm="1">
        <f t="array" ref="H41">SUMPRODUCT(Tracking[Amount],--(Tracking[Date]&lt;=Tracking[[#This Row],[Date]]),(Tracking[Type]&lt;&gt;"Income")*(-1)+(Tracking[Type]="Income"))</f>
        <v>189.43999999999997</v>
      </c>
      <c r="I41" s="51">
        <f>IF(AND(Tracking[[#This Row],[Type]]="Income",shift_late_income_status="Active",DAY(Tracking[[#This Row],[Date]])&gt;=shift_late_income_starting_day),DATE(YEAR(Tracking[[#This Row],[Date]]),MONTH(Tracking[[#This Row],[Date]])+1,1),Tracking[[#This Row],[Date]])</f>
        <v>45695</v>
      </c>
    </row>
    <row r="42" spans="3:9" hidden="1" x14ac:dyDescent="0.3">
      <c r="C42" s="41">
        <v>45695</v>
      </c>
      <c r="D42" s="39" t="s">
        <v>9</v>
      </c>
      <c r="E42" s="39" t="s">
        <v>10</v>
      </c>
      <c r="F42" s="139">
        <v>10.49</v>
      </c>
      <c r="G42" s="40"/>
      <c r="H42" s="43" cm="1">
        <f t="array" ref="H42">SUMPRODUCT(Tracking[Amount],--(Tracking[Date]&lt;=Tracking[[#This Row],[Date]]),(Tracking[Type]&lt;&gt;"Income")*(-1)+(Tracking[Type]="Income"))</f>
        <v>189.43999999999997</v>
      </c>
      <c r="I42" s="51">
        <f>IF(AND(Tracking[[#This Row],[Type]]="Income",shift_late_income_status="Active",DAY(Tracking[[#This Row],[Date]])&gt;=shift_late_income_starting_day),DATE(YEAR(Tracking[[#This Row],[Date]]),MONTH(Tracking[[#This Row],[Date]])+1,1),Tracking[[#This Row],[Date]])</f>
        <v>45695</v>
      </c>
    </row>
    <row r="43" spans="3:9" hidden="1" x14ac:dyDescent="0.3">
      <c r="C43" s="41">
        <v>45696</v>
      </c>
      <c r="D43" s="39" t="s">
        <v>9</v>
      </c>
      <c r="E43" s="39" t="s">
        <v>10</v>
      </c>
      <c r="F43" s="139">
        <v>16.25</v>
      </c>
      <c r="G43" s="40"/>
      <c r="H43" s="43" cm="1">
        <f t="array" ref="H43">SUMPRODUCT(Tracking[Amount],--(Tracking[Date]&lt;=Tracking[[#This Row],[Date]]),(Tracking[Type]&lt;&gt;"Income")*(-1)+(Tracking[Type]="Income"))</f>
        <v>153.61999999999998</v>
      </c>
      <c r="I43" s="51">
        <f>IF(AND(Tracking[[#This Row],[Type]]="Income",shift_late_income_status="Active",DAY(Tracking[[#This Row],[Date]])&gt;=shift_late_income_starting_day),DATE(YEAR(Tracking[[#This Row],[Date]]),MONTH(Tracking[[#This Row],[Date]])+1,1),Tracking[[#This Row],[Date]])</f>
        <v>45696</v>
      </c>
    </row>
    <row r="44" spans="3:9" hidden="1" x14ac:dyDescent="0.3">
      <c r="C44" s="41">
        <v>45696</v>
      </c>
      <c r="D44" s="39" t="s">
        <v>9</v>
      </c>
      <c r="E44" s="39" t="s">
        <v>10</v>
      </c>
      <c r="F44" s="139">
        <v>12</v>
      </c>
      <c r="G44" s="40" t="s">
        <v>116</v>
      </c>
      <c r="H44" s="43" cm="1">
        <f t="array" ref="H44">SUMPRODUCT(Tracking[Amount],--(Tracking[Date]&lt;=Tracking[[#This Row],[Date]]),(Tracking[Type]&lt;&gt;"Income")*(-1)+(Tracking[Type]="Income"))</f>
        <v>153.61999999999998</v>
      </c>
      <c r="I44" s="51">
        <f>IF(AND(Tracking[[#This Row],[Type]]="Income",shift_late_income_status="Active",DAY(Tracking[[#This Row],[Date]])&gt;=shift_late_income_starting_day),DATE(YEAR(Tracking[[#This Row],[Date]]),MONTH(Tracking[[#This Row],[Date]])+1,1),Tracking[[#This Row],[Date]])</f>
        <v>45696</v>
      </c>
    </row>
    <row r="45" spans="3:9" hidden="1" x14ac:dyDescent="0.3">
      <c r="C45" s="41">
        <v>45696</v>
      </c>
      <c r="D45" s="39" t="s">
        <v>9</v>
      </c>
      <c r="E45" s="39" t="s">
        <v>12</v>
      </c>
      <c r="F45" s="139">
        <v>7.57</v>
      </c>
      <c r="G45" s="40"/>
      <c r="H45" s="43" cm="1">
        <f t="array" ref="H45">SUMPRODUCT(Tracking[Amount],--(Tracking[Date]&lt;=Tracking[[#This Row],[Date]]),(Tracking[Type]&lt;&gt;"Income")*(-1)+(Tracking[Type]="Income"))</f>
        <v>153.61999999999998</v>
      </c>
      <c r="I45" s="51">
        <f>IF(AND(Tracking[[#This Row],[Type]]="Income",shift_late_income_status="Active",DAY(Tracking[[#This Row],[Date]])&gt;=shift_late_income_starting_day),DATE(YEAR(Tracking[[#This Row],[Date]]),MONTH(Tracking[[#This Row],[Date]])+1,1),Tracking[[#This Row],[Date]])</f>
        <v>45696</v>
      </c>
    </row>
    <row r="46" spans="3:9" hidden="1" x14ac:dyDescent="0.3">
      <c r="C46" s="41">
        <v>45698</v>
      </c>
      <c r="D46" s="39" t="s">
        <v>9</v>
      </c>
      <c r="E46" s="39" t="s">
        <v>10</v>
      </c>
      <c r="F46" s="139">
        <v>12.18</v>
      </c>
      <c r="G46" s="40"/>
      <c r="H46" s="43" cm="1">
        <f t="array" ref="H46">SUMPRODUCT(Tracking[Amount],--(Tracking[Date]&lt;=Tracking[[#This Row],[Date]]),(Tracking[Type]&lt;&gt;"Income")*(-1)+(Tracking[Type]="Income"))</f>
        <v>141.43999999999997</v>
      </c>
      <c r="I46" s="51">
        <f>IF(AND(Tracking[[#This Row],[Type]]="Income",shift_late_income_status="Active",DAY(Tracking[[#This Row],[Date]])&gt;=shift_late_income_starting_day),DATE(YEAR(Tracking[[#This Row],[Date]]),MONTH(Tracking[[#This Row],[Date]])+1,1),Tracking[[#This Row],[Date]])</f>
        <v>45698</v>
      </c>
    </row>
    <row r="47" spans="3:9" hidden="1" x14ac:dyDescent="0.3">
      <c r="C47" s="41">
        <v>45700</v>
      </c>
      <c r="D47" s="39" t="s">
        <v>5</v>
      </c>
      <c r="E47" s="39" t="s">
        <v>106</v>
      </c>
      <c r="F47" s="139">
        <v>228</v>
      </c>
      <c r="G47" s="40"/>
      <c r="H47" s="43" cm="1">
        <f t="array" ref="H47">SUMPRODUCT(Tracking[Amount],--(Tracking[Date]&lt;=Tracking[[#This Row],[Date]]),(Tracking[Type]&lt;&gt;"Income")*(-1)+(Tracking[Type]="Income"))</f>
        <v>369.43999999999994</v>
      </c>
      <c r="I47" s="51">
        <f>IF(AND(Tracking[[#This Row],[Type]]="Income",shift_late_income_status="Active",DAY(Tracking[[#This Row],[Date]])&gt;=shift_late_income_starting_day),DATE(YEAR(Tracking[[#This Row],[Date]]),MONTH(Tracking[[#This Row],[Date]])+1,1),Tracking[[#This Row],[Date]])</f>
        <v>45700</v>
      </c>
    </row>
    <row r="48" spans="3:9" hidden="1" x14ac:dyDescent="0.3">
      <c r="C48" s="41">
        <v>45701</v>
      </c>
      <c r="D48" s="39" t="s">
        <v>9</v>
      </c>
      <c r="E48" s="39" t="s">
        <v>108</v>
      </c>
      <c r="F48" s="139">
        <v>111.06</v>
      </c>
      <c r="G48" s="40" t="s">
        <v>117</v>
      </c>
      <c r="H48" s="43" cm="1">
        <f t="array" ref="H48">SUMPRODUCT(Tracking[Amount],--(Tracking[Date]&lt;=Tracking[[#This Row],[Date]]),(Tracking[Type]&lt;&gt;"Income")*(-1)+(Tracking[Type]="Income"))</f>
        <v>244.19999999999993</v>
      </c>
      <c r="I48" s="51">
        <f>IF(AND(Tracking[[#This Row],[Type]]="Income",shift_late_income_status="Active",DAY(Tracking[[#This Row],[Date]])&gt;=shift_late_income_starting_day),DATE(YEAR(Tracking[[#This Row],[Date]]),MONTH(Tracking[[#This Row],[Date]])+1,1),Tracking[[#This Row],[Date]])</f>
        <v>45701</v>
      </c>
    </row>
    <row r="49" spans="3:9" hidden="1" x14ac:dyDescent="0.3">
      <c r="C49" s="41">
        <v>45701</v>
      </c>
      <c r="D49" s="39" t="s">
        <v>9</v>
      </c>
      <c r="E49" s="39" t="s">
        <v>108</v>
      </c>
      <c r="F49" s="139">
        <v>7.18</v>
      </c>
      <c r="G49" s="40" t="s">
        <v>118</v>
      </c>
      <c r="H49" s="43" cm="1">
        <f t="array" ref="H49">SUMPRODUCT(Tracking[Amount],--(Tracking[Date]&lt;=Tracking[[#This Row],[Date]]),(Tracking[Type]&lt;&gt;"Income")*(-1)+(Tracking[Type]="Income"))</f>
        <v>244.19999999999993</v>
      </c>
      <c r="I49" s="51">
        <f>IF(AND(Tracking[[#This Row],[Type]]="Income",shift_late_income_status="Active",DAY(Tracking[[#This Row],[Date]])&gt;=shift_late_income_starting_day),DATE(YEAR(Tracking[[#This Row],[Date]]),MONTH(Tracking[[#This Row],[Date]])+1,1),Tracking[[#This Row],[Date]])</f>
        <v>45701</v>
      </c>
    </row>
    <row r="50" spans="3:9" hidden="1" x14ac:dyDescent="0.3">
      <c r="C50" s="41">
        <v>45701</v>
      </c>
      <c r="D50" s="39" t="s">
        <v>9</v>
      </c>
      <c r="E50" s="39" t="s">
        <v>11</v>
      </c>
      <c r="F50" s="139">
        <v>7</v>
      </c>
      <c r="G50" s="40" t="s">
        <v>119</v>
      </c>
      <c r="H50" s="43" cm="1">
        <f t="array" ref="H50">SUMPRODUCT(Tracking[Amount],--(Tracking[Date]&lt;=Tracking[[#This Row],[Date]]),(Tracking[Type]&lt;&gt;"Income")*(-1)+(Tracking[Type]="Income"))</f>
        <v>244.19999999999993</v>
      </c>
      <c r="I50" s="51">
        <f>IF(AND(Tracking[[#This Row],[Type]]="Income",shift_late_income_status="Active",DAY(Tracking[[#This Row],[Date]])&gt;=shift_late_income_starting_day),DATE(YEAR(Tracking[[#This Row],[Date]]),MONTH(Tracking[[#This Row],[Date]])+1,1),Tracking[[#This Row],[Date]])</f>
        <v>45701</v>
      </c>
    </row>
    <row r="51" spans="3:9" hidden="1" x14ac:dyDescent="0.3">
      <c r="C51" s="41">
        <v>45702</v>
      </c>
      <c r="D51" s="39" t="s">
        <v>5</v>
      </c>
      <c r="E51" s="39" t="s">
        <v>103</v>
      </c>
      <c r="F51" s="139">
        <v>131.69</v>
      </c>
      <c r="G51" s="40"/>
      <c r="H51" s="43" cm="1">
        <f t="array" ref="H51">SUMPRODUCT(Tracking[Amount],--(Tracking[Date]&lt;=Tracking[[#This Row],[Date]]),(Tracking[Type]&lt;&gt;"Income")*(-1)+(Tracking[Type]="Income"))</f>
        <v>321.31999999999994</v>
      </c>
      <c r="I51" s="51">
        <f>IF(AND(Tracking[[#This Row],[Type]]="Income",shift_late_income_status="Active",DAY(Tracking[[#This Row],[Date]])&gt;=shift_late_income_starting_day),DATE(YEAR(Tracking[[#This Row],[Date]]),MONTH(Tracking[[#This Row],[Date]])+1,1),Tracking[[#This Row],[Date]])</f>
        <v>45702</v>
      </c>
    </row>
    <row r="52" spans="3:9" hidden="1" x14ac:dyDescent="0.3">
      <c r="C52" s="41">
        <v>45702</v>
      </c>
      <c r="D52" s="39" t="s">
        <v>9</v>
      </c>
      <c r="E52" s="39" t="s">
        <v>10</v>
      </c>
      <c r="F52" s="139">
        <v>54.57</v>
      </c>
      <c r="G52" s="40" t="s">
        <v>120</v>
      </c>
      <c r="H52" s="43" cm="1">
        <f t="array" ref="H52">SUMPRODUCT(Tracking[Amount],--(Tracking[Date]&lt;=Tracking[[#This Row],[Date]]),(Tracking[Type]&lt;&gt;"Income")*(-1)+(Tracking[Type]="Income"))</f>
        <v>321.31999999999994</v>
      </c>
      <c r="I52" s="51">
        <f>IF(AND(Tracking[[#This Row],[Type]]="Income",shift_late_income_status="Active",DAY(Tracking[[#This Row],[Date]])&gt;=shift_late_income_starting_day),DATE(YEAR(Tracking[[#This Row],[Date]]),MONTH(Tracking[[#This Row],[Date]])+1,1),Tracking[[#This Row],[Date]])</f>
        <v>45702</v>
      </c>
    </row>
    <row r="53" spans="3:9" hidden="1" x14ac:dyDescent="0.3">
      <c r="C53" s="41">
        <v>45703</v>
      </c>
      <c r="D53" s="39" t="s">
        <v>9</v>
      </c>
      <c r="E53" s="39" t="s">
        <v>11</v>
      </c>
      <c r="F53" s="139">
        <v>8</v>
      </c>
      <c r="G53" s="40" t="s">
        <v>121</v>
      </c>
      <c r="H53" s="43" cm="1">
        <f t="array" ref="H53">SUMPRODUCT(Tracking[Amount],--(Tracking[Date]&lt;=Tracking[[#This Row],[Date]]),(Tracking[Type]&lt;&gt;"Income")*(-1)+(Tracking[Type]="Income"))</f>
        <v>313.31999999999994</v>
      </c>
      <c r="I53" s="51">
        <f>IF(AND(Tracking[[#This Row],[Type]]="Income",shift_late_income_status="Active",DAY(Tracking[[#This Row],[Date]])&gt;=shift_late_income_starting_day),DATE(YEAR(Tracking[[#This Row],[Date]]),MONTH(Tracking[[#This Row],[Date]])+1,1),Tracking[[#This Row],[Date]])</f>
        <v>45703</v>
      </c>
    </row>
    <row r="54" spans="3:9" hidden="1" x14ac:dyDescent="0.3">
      <c r="C54" s="65">
        <v>45705</v>
      </c>
      <c r="D54" s="66" t="s">
        <v>5</v>
      </c>
      <c r="E54" s="66" t="s">
        <v>104</v>
      </c>
      <c r="F54" s="140">
        <v>17.190000000000001</v>
      </c>
      <c r="G54" s="40"/>
      <c r="H54" s="67" cm="1">
        <f t="array" ref="H54">SUMPRODUCT(Tracking[Amount],--(Tracking[Date]&lt;=Tracking[[#This Row],[Date]]),(Tracking[Type]&lt;&gt;"Income")*(-1)+(Tracking[Type]="Income"))</f>
        <v>330.50999999999993</v>
      </c>
      <c r="I54" s="51">
        <f>IF(AND(Tracking[[#This Row],[Type]]="Income",shift_late_income_status="Active",DAY(Tracking[[#This Row],[Date]])&gt;=shift_late_income_starting_day),DATE(YEAR(Tracking[[#This Row],[Date]]),MONTH(Tracking[[#This Row],[Date]])+1,1),Tracking[[#This Row],[Date]])</f>
        <v>45705</v>
      </c>
    </row>
    <row r="55" spans="3:9" hidden="1" x14ac:dyDescent="0.3">
      <c r="C55" s="41">
        <v>45707</v>
      </c>
      <c r="D55" s="39" t="s">
        <v>14</v>
      </c>
      <c r="E55" s="39" t="s">
        <v>110</v>
      </c>
      <c r="F55" s="139">
        <v>300</v>
      </c>
      <c r="G55" s="40"/>
      <c r="H55" s="43" cm="1">
        <f t="array" ref="H55">SUMPRODUCT(Tracking[Amount],--(Tracking[Date]&lt;=Tracking[[#This Row],[Date]]),(Tracking[Type]&lt;&gt;"Income")*(-1)+(Tracking[Type]="Income"))</f>
        <v>30.509999999999934</v>
      </c>
      <c r="I55" s="51">
        <f>IF(AND(Tracking[[#This Row],[Type]]="Income",shift_late_income_status="Active",DAY(Tracking[[#This Row],[Date]])&gt;=shift_late_income_starting_day),DATE(YEAR(Tracking[[#This Row],[Date]]),MONTH(Tracking[[#This Row],[Date]])+1,1),Tracking[[#This Row],[Date]])</f>
        <v>45707</v>
      </c>
    </row>
    <row r="56" spans="3:9" hidden="1" x14ac:dyDescent="0.3">
      <c r="C56" s="41">
        <v>45709</v>
      </c>
      <c r="D56" s="39" t="s">
        <v>9</v>
      </c>
      <c r="E56" s="39" t="s">
        <v>10</v>
      </c>
      <c r="F56" s="139">
        <v>19.75</v>
      </c>
      <c r="G56" s="40"/>
      <c r="H56" s="43" cm="1">
        <f t="array" ref="H56">SUMPRODUCT(Tracking[Amount],--(Tracking[Date]&lt;=Tracking[[#This Row],[Date]]),(Tracking[Type]&lt;&gt;"Income")*(-1)+(Tracking[Type]="Income"))</f>
        <v>10.759999999999934</v>
      </c>
      <c r="I56" s="51">
        <f>IF(AND(Tracking[[#This Row],[Type]]="Income",shift_late_income_status="Active",DAY(Tracking[[#This Row],[Date]])&gt;=shift_late_income_starting_day),DATE(YEAR(Tracking[[#This Row],[Date]]),MONTH(Tracking[[#This Row],[Date]])+1,1),Tracking[[#This Row],[Date]])</f>
        <v>45709</v>
      </c>
    </row>
    <row r="57" spans="3:9" hidden="1" x14ac:dyDescent="0.3">
      <c r="C57" s="41">
        <v>45710</v>
      </c>
      <c r="D57" s="39" t="s">
        <v>9</v>
      </c>
      <c r="E57" s="39" t="s">
        <v>10</v>
      </c>
      <c r="F57" s="139">
        <v>19.13</v>
      </c>
      <c r="G57" s="40"/>
      <c r="H57" s="43" cm="1">
        <f t="array" ref="H57">SUMPRODUCT(Tracking[Amount],--(Tracking[Date]&lt;=Tracking[[#This Row],[Date]]),(Tracking[Type]&lt;&gt;"Income")*(-1)+(Tracking[Type]="Income"))</f>
        <v>-8.3700000000000649</v>
      </c>
      <c r="I57" s="51">
        <f>IF(AND(Tracking[[#This Row],[Type]]="Income",shift_late_income_status="Active",DAY(Tracking[[#This Row],[Date]])&gt;=shift_late_income_starting_day),DATE(YEAR(Tracking[[#This Row],[Date]]),MONTH(Tracking[[#This Row],[Date]])+1,1),Tracking[[#This Row],[Date]])</f>
        <v>45710</v>
      </c>
    </row>
    <row r="58" spans="3:9" hidden="1" x14ac:dyDescent="0.3">
      <c r="C58" s="41">
        <v>45712</v>
      </c>
      <c r="D58" s="39" t="s">
        <v>9</v>
      </c>
      <c r="E58" s="39" t="s">
        <v>10</v>
      </c>
      <c r="F58" s="139">
        <v>19.809999999999999</v>
      </c>
      <c r="G58" s="40"/>
      <c r="H58" s="43" cm="1">
        <f t="array" ref="H58">SUMPRODUCT(Tracking[Amount],--(Tracking[Date]&lt;=Tracking[[#This Row],[Date]]),(Tracking[Type]&lt;&gt;"Income")*(-1)+(Tracking[Type]="Income"))</f>
        <v>-28.180000000000064</v>
      </c>
      <c r="I58" s="51">
        <f>IF(AND(Tracking[[#This Row],[Type]]="Income",shift_late_income_status="Active",DAY(Tracking[[#This Row],[Date]])&gt;=shift_late_income_starting_day),DATE(YEAR(Tracking[[#This Row],[Date]]),MONTH(Tracking[[#This Row],[Date]])+1,1),Tracking[[#This Row],[Date]])</f>
        <v>45712</v>
      </c>
    </row>
    <row r="59" spans="3:9" hidden="1" x14ac:dyDescent="0.3">
      <c r="C59" s="41">
        <v>45713</v>
      </c>
      <c r="D59" s="39" t="s">
        <v>9</v>
      </c>
      <c r="E59" s="39" t="s">
        <v>111</v>
      </c>
      <c r="F59" s="139">
        <v>30</v>
      </c>
      <c r="G59" s="40" t="s">
        <v>122</v>
      </c>
      <c r="H59" s="43" cm="1">
        <f t="array" ref="H59">SUMPRODUCT(Tracking[Amount],--(Tracking[Date]&lt;=Tracking[[#This Row],[Date]]),(Tracking[Type]&lt;&gt;"Income")*(-1)+(Tracking[Type]="Income"))</f>
        <v>-58.180000000000064</v>
      </c>
      <c r="I59" s="51">
        <f>IF(AND(Tracking[[#This Row],[Type]]="Income",shift_late_income_status="Active",DAY(Tracking[[#This Row],[Date]])&gt;=shift_late_income_starting_day),DATE(YEAR(Tracking[[#This Row],[Date]]),MONTH(Tracking[[#This Row],[Date]])+1,1),Tracking[[#This Row],[Date]])</f>
        <v>45713</v>
      </c>
    </row>
    <row r="60" spans="3:9" hidden="1" x14ac:dyDescent="0.3">
      <c r="C60" s="41">
        <v>45715</v>
      </c>
      <c r="D60" s="39" t="s">
        <v>14</v>
      </c>
      <c r="E60" s="39" t="s">
        <v>110</v>
      </c>
      <c r="F60" s="139">
        <v>21</v>
      </c>
      <c r="G60" s="40"/>
      <c r="H60" s="43" cm="1">
        <f t="array" ref="H60">SUMPRODUCT(Tracking[Amount],--(Tracking[Date]&lt;=Tracking[[#This Row],[Date]]),(Tracking[Type]&lt;&gt;"Income")*(-1)+(Tracking[Type]="Income"))</f>
        <v>-79.180000000000064</v>
      </c>
      <c r="I60" s="51">
        <f>IF(AND(Tracking[[#This Row],[Type]]="Income",shift_late_income_status="Active",DAY(Tracking[[#This Row],[Date]])&gt;=shift_late_income_starting_day),DATE(YEAR(Tracking[[#This Row],[Date]]),MONTH(Tracking[[#This Row],[Date]])+1,1),Tracking[[#This Row],[Date]])</f>
        <v>45715</v>
      </c>
    </row>
    <row r="61" spans="3:9" hidden="1" x14ac:dyDescent="0.3">
      <c r="C61" s="41">
        <v>45716</v>
      </c>
      <c r="D61" s="39" t="s">
        <v>9</v>
      </c>
      <c r="E61" s="39" t="s">
        <v>111</v>
      </c>
      <c r="F61" s="139">
        <v>24</v>
      </c>
      <c r="G61" s="40" t="s">
        <v>123</v>
      </c>
      <c r="H61" s="43" cm="1">
        <f t="array" ref="H61">SUMPRODUCT(Tracking[Amount],--(Tracking[Date]&lt;=Tracking[[#This Row],[Date]]),(Tracking[Type]&lt;&gt;"Income")*(-1)+(Tracking[Type]="Income"))</f>
        <v>54.739999999999924</v>
      </c>
      <c r="I61" s="51">
        <f>IF(AND(Tracking[[#This Row],[Type]]="Income",shift_late_income_status="Active",DAY(Tracking[[#This Row],[Date]])&gt;=shift_late_income_starting_day),DATE(YEAR(Tracking[[#This Row],[Date]]),MONTH(Tracking[[#This Row],[Date]])+1,1),Tracking[[#This Row],[Date]])</f>
        <v>45716</v>
      </c>
    </row>
    <row r="62" spans="3:9" hidden="1" x14ac:dyDescent="0.3">
      <c r="C62" s="41">
        <v>45716</v>
      </c>
      <c r="D62" s="39" t="s">
        <v>5</v>
      </c>
      <c r="E62" s="39" t="s">
        <v>103</v>
      </c>
      <c r="F62" s="139">
        <v>157.91999999999999</v>
      </c>
      <c r="G62" s="40"/>
      <c r="H62" s="43" cm="1">
        <f t="array" ref="H62">SUMPRODUCT(Tracking[Amount],--(Tracking[Date]&lt;=Tracking[[#This Row],[Date]]),(Tracking[Type]&lt;&gt;"Income")*(-1)+(Tracking[Type]="Income"))</f>
        <v>54.739999999999924</v>
      </c>
      <c r="I62" s="51">
        <f>IF(AND(Tracking[[#This Row],[Type]]="Income",shift_late_income_status="Active",DAY(Tracking[[#This Row],[Date]])&gt;=shift_late_income_starting_day),DATE(YEAR(Tracking[[#This Row],[Date]]),MONTH(Tracking[[#This Row],[Date]])+1,1),Tracking[[#This Row],[Date]])</f>
        <v>45717</v>
      </c>
    </row>
    <row r="63" spans="3:9" hidden="1" x14ac:dyDescent="0.3">
      <c r="C63" s="41">
        <v>45717</v>
      </c>
      <c r="D63" s="39" t="s">
        <v>9</v>
      </c>
      <c r="E63" s="39" t="s">
        <v>10</v>
      </c>
      <c r="F63" s="139">
        <f>34.83-18</f>
        <v>16.829999999999998</v>
      </c>
      <c r="G63" s="40"/>
      <c r="H63" s="43" cm="1">
        <f t="array" ref="H63">SUMPRODUCT(Tracking[Amount],--(Tracking[Date]&lt;=Tracking[[#This Row],[Date]]),(Tracking[Type]&lt;&gt;"Income")*(-1)+(Tracking[Type]="Income"))</f>
        <v>21.679999999999925</v>
      </c>
      <c r="I63" s="51">
        <f>IF(AND(Tracking[[#This Row],[Type]]="Income",shift_late_income_status="Active",DAY(Tracking[[#This Row],[Date]])&gt;=shift_late_income_starting_day),DATE(YEAR(Tracking[[#This Row],[Date]]),MONTH(Tracking[[#This Row],[Date]])+1,1),Tracking[[#This Row],[Date]])</f>
        <v>45717</v>
      </c>
    </row>
    <row r="64" spans="3:9" hidden="1" x14ac:dyDescent="0.3">
      <c r="C64" s="41">
        <v>45717</v>
      </c>
      <c r="D64" s="39" t="s">
        <v>9</v>
      </c>
      <c r="E64" s="39" t="s">
        <v>111</v>
      </c>
      <c r="F64" s="139">
        <v>16.23</v>
      </c>
      <c r="G64" s="40" t="s">
        <v>124</v>
      </c>
      <c r="H64" s="43" cm="1">
        <f t="array" ref="H64">SUMPRODUCT(Tracking[Amount],--(Tracking[Date]&lt;=Tracking[[#This Row],[Date]]),(Tracking[Type]&lt;&gt;"Income")*(-1)+(Tracking[Type]="Income"))</f>
        <v>21.679999999999925</v>
      </c>
      <c r="I64" s="51">
        <f>IF(AND(Tracking[[#This Row],[Type]]="Income",shift_late_income_status="Active",DAY(Tracking[[#This Row],[Date]])&gt;=shift_late_income_starting_day),DATE(YEAR(Tracking[[#This Row],[Date]]),MONTH(Tracking[[#This Row],[Date]])+1,1),Tracking[[#This Row],[Date]])</f>
        <v>45717</v>
      </c>
    </row>
    <row r="65" spans="3:9" hidden="1" x14ac:dyDescent="0.3">
      <c r="C65" s="41">
        <v>45718</v>
      </c>
      <c r="D65" s="39" t="s">
        <v>5</v>
      </c>
      <c r="E65" s="39" t="s">
        <v>104</v>
      </c>
      <c r="F65" s="139">
        <v>17.38</v>
      </c>
      <c r="G65" s="40"/>
      <c r="H65" s="43" cm="1">
        <f t="array" ref="H65">SUMPRODUCT(Tracking[Amount],--(Tracking[Date]&lt;=Tracking[[#This Row],[Date]]),(Tracking[Type]&lt;&gt;"Income")*(-1)+(Tracking[Type]="Income"))</f>
        <v>21.679999999999925</v>
      </c>
      <c r="I65" s="51">
        <f>IF(AND(Tracking[[#This Row],[Type]]="Income",shift_late_income_status="Active",DAY(Tracking[[#This Row],[Date]])&gt;=shift_late_income_starting_day),DATE(YEAR(Tracking[[#This Row],[Date]]),MONTH(Tracking[[#This Row],[Date]])+1,1),Tracking[[#This Row],[Date]])</f>
        <v>45718</v>
      </c>
    </row>
    <row r="66" spans="3:9" hidden="1" x14ac:dyDescent="0.3">
      <c r="C66" s="41">
        <v>45718</v>
      </c>
      <c r="D66" s="39" t="s">
        <v>14</v>
      </c>
      <c r="E66" s="39" t="s">
        <v>109</v>
      </c>
      <c r="F66" s="139">
        <v>17.38</v>
      </c>
      <c r="G66" s="40"/>
      <c r="H66" s="43" cm="1">
        <f t="array" ref="H66">SUMPRODUCT(Tracking[Amount],--(Tracking[Date]&lt;=Tracking[[#This Row],[Date]]),(Tracking[Type]&lt;&gt;"Income")*(-1)+(Tracking[Type]="Income"))</f>
        <v>21.679999999999925</v>
      </c>
      <c r="I66" s="51">
        <f>IF(AND(Tracking[[#This Row],[Type]]="Income",shift_late_income_status="Active",DAY(Tracking[[#This Row],[Date]])&gt;=shift_late_income_starting_day),DATE(YEAR(Tracking[[#This Row],[Date]]),MONTH(Tracking[[#This Row],[Date]])+1,1),Tracking[[#This Row],[Date]])</f>
        <v>45718</v>
      </c>
    </row>
    <row r="67" spans="3:9" hidden="1" x14ac:dyDescent="0.3">
      <c r="C67" s="41">
        <v>45720</v>
      </c>
      <c r="D67" s="39" t="s">
        <v>9</v>
      </c>
      <c r="E67" s="39" t="s">
        <v>10</v>
      </c>
      <c r="F67" s="139">
        <v>7.5</v>
      </c>
      <c r="G67" s="40"/>
      <c r="H67" s="43" cm="1">
        <f t="array" ref="H67">SUMPRODUCT(Tracking[Amount],--(Tracking[Date]&lt;=Tracking[[#This Row],[Date]]),(Tracking[Type]&lt;&gt;"Income")*(-1)+(Tracking[Type]="Income"))</f>
        <v>14.179999999999925</v>
      </c>
      <c r="I67" s="51">
        <f>IF(AND(Tracking[[#This Row],[Type]]="Income",shift_late_income_status="Active",DAY(Tracking[[#This Row],[Date]])&gt;=shift_late_income_starting_day),DATE(YEAR(Tracking[[#This Row],[Date]]),MONTH(Tracking[[#This Row],[Date]])+1,1),Tracking[[#This Row],[Date]])</f>
        <v>45720</v>
      </c>
    </row>
    <row r="68" spans="3:9" hidden="1" x14ac:dyDescent="0.3">
      <c r="C68" s="41">
        <v>45722</v>
      </c>
      <c r="D68" s="39" t="s">
        <v>9</v>
      </c>
      <c r="E68" s="39" t="s">
        <v>111</v>
      </c>
      <c r="F68" s="139">
        <v>5.35</v>
      </c>
      <c r="G68" s="40" t="s">
        <v>125</v>
      </c>
      <c r="H68" s="43" cm="1">
        <f t="array" ref="H68">SUMPRODUCT(Tracking[Amount],--(Tracking[Date]&lt;=Tracking[[#This Row],[Date]]),(Tracking[Type]&lt;&gt;"Income")*(-1)+(Tracking[Type]="Income"))</f>
        <v>-62.710000000000079</v>
      </c>
      <c r="I68" s="51">
        <f>IF(AND(Tracking[[#This Row],[Type]]="Income",shift_late_income_status="Active",DAY(Tracking[[#This Row],[Date]])&gt;=shift_late_income_starting_day),DATE(YEAR(Tracking[[#This Row],[Date]]),MONTH(Tracking[[#This Row],[Date]])+1,1),Tracking[[#This Row],[Date]])</f>
        <v>45722</v>
      </c>
    </row>
    <row r="69" spans="3:9" hidden="1" x14ac:dyDescent="0.3">
      <c r="C69" s="41">
        <v>45722</v>
      </c>
      <c r="D69" s="39" t="s">
        <v>9</v>
      </c>
      <c r="E69" s="39" t="s">
        <v>10</v>
      </c>
      <c r="F69" s="139">
        <v>71.540000000000006</v>
      </c>
      <c r="G69" s="40"/>
      <c r="H69" s="43" cm="1">
        <f t="array" ref="H69">SUMPRODUCT(Tracking[Amount],--(Tracking[Date]&lt;=Tracking[[#This Row],[Date]]),(Tracking[Type]&lt;&gt;"Income")*(-1)+(Tracking[Type]="Income"))</f>
        <v>-62.710000000000079</v>
      </c>
      <c r="I69" s="51">
        <f>IF(AND(Tracking[[#This Row],[Type]]="Income",shift_late_income_status="Active",DAY(Tracking[[#This Row],[Date]])&gt;=shift_late_income_starting_day),DATE(YEAR(Tracking[[#This Row],[Date]]),MONTH(Tracking[[#This Row],[Date]])+1,1),Tracking[[#This Row],[Date]])</f>
        <v>45722</v>
      </c>
    </row>
    <row r="70" spans="3:9" hidden="1" x14ac:dyDescent="0.3">
      <c r="C70" s="41">
        <v>45723</v>
      </c>
      <c r="D70" s="39" t="s">
        <v>5</v>
      </c>
      <c r="E70" s="39" t="s">
        <v>106</v>
      </c>
      <c r="F70" s="139">
        <v>228</v>
      </c>
      <c r="G70" s="40"/>
      <c r="H70" s="43" cm="1">
        <f t="array" ref="H70">SUMPRODUCT(Tracking[Amount],--(Tracking[Date]&lt;=Tracking[[#This Row],[Date]]),(Tracking[Type]&lt;&gt;"Income")*(-1)+(Tracking[Type]="Income"))</f>
        <v>46.87999999999991</v>
      </c>
      <c r="I70" s="51">
        <f>IF(AND(Tracking[[#This Row],[Type]]="Income",shift_late_income_status="Active",DAY(Tracking[[#This Row],[Date]])&gt;=shift_late_income_starting_day),DATE(YEAR(Tracking[[#This Row],[Date]]),MONTH(Tracking[[#This Row],[Date]])+1,1),Tracking[[#This Row],[Date]])</f>
        <v>45723</v>
      </c>
    </row>
    <row r="71" spans="3:9" hidden="1" x14ac:dyDescent="0.3">
      <c r="C71" s="41">
        <v>45723</v>
      </c>
      <c r="D71" s="39" t="s">
        <v>9</v>
      </c>
      <c r="E71" s="39" t="s">
        <v>108</v>
      </c>
      <c r="F71" s="139">
        <v>118.41</v>
      </c>
      <c r="G71" s="40" t="s">
        <v>126</v>
      </c>
      <c r="H71" s="43" cm="1">
        <f t="array" ref="H71">SUMPRODUCT(Tracking[Amount],--(Tracking[Date]&lt;=Tracking[[#This Row],[Date]]),(Tracking[Type]&lt;&gt;"Income")*(-1)+(Tracking[Type]="Income"))</f>
        <v>46.87999999999991</v>
      </c>
      <c r="I71" s="51">
        <f>IF(AND(Tracking[[#This Row],[Type]]="Income",shift_late_income_status="Active",DAY(Tracking[[#This Row],[Date]])&gt;=shift_late_income_starting_day),DATE(YEAR(Tracking[[#This Row],[Date]]),MONTH(Tracking[[#This Row],[Date]])+1,1),Tracking[[#This Row],[Date]])</f>
        <v>45723</v>
      </c>
    </row>
    <row r="72" spans="3:9" hidden="1" x14ac:dyDescent="0.3">
      <c r="C72" s="41">
        <v>45724</v>
      </c>
      <c r="D72" s="39" t="s">
        <v>9</v>
      </c>
      <c r="E72" s="39" t="s">
        <v>108</v>
      </c>
      <c r="F72" s="139">
        <f>5.38+21.65</f>
        <v>27.029999999999998</v>
      </c>
      <c r="G72" s="40" t="s">
        <v>113</v>
      </c>
      <c r="H72" s="43" cm="1">
        <f t="array" ref="H72">SUMPRODUCT(Tracking[Amount],--(Tracking[Date]&lt;=Tracking[[#This Row],[Date]]),(Tracking[Type]&lt;&gt;"Income")*(-1)+(Tracking[Type]="Income"))</f>
        <v>19.849999999999913</v>
      </c>
      <c r="I72" s="51">
        <f>IF(AND(Tracking[[#This Row],[Type]]="Income",shift_late_income_status="Active",DAY(Tracking[[#This Row],[Date]])&gt;=shift_late_income_starting_day),DATE(YEAR(Tracking[[#This Row],[Date]]),MONTH(Tracking[[#This Row],[Date]])+1,1),Tracking[[#This Row],[Date]])</f>
        <v>45724</v>
      </c>
    </row>
    <row r="73" spans="3:9" hidden="1" x14ac:dyDescent="0.3">
      <c r="C73" s="41">
        <v>45725</v>
      </c>
      <c r="D73" s="39" t="s">
        <v>9</v>
      </c>
      <c r="E73" s="39" t="s">
        <v>108</v>
      </c>
      <c r="F73" s="139">
        <v>54.11</v>
      </c>
      <c r="G73" s="40" t="s">
        <v>127</v>
      </c>
      <c r="H73" s="43" cm="1">
        <f t="array" ref="H73">SUMPRODUCT(Tracking[Amount],--(Tracking[Date]&lt;=Tracking[[#This Row],[Date]]),(Tracking[Type]&lt;&gt;"Income")*(-1)+(Tracking[Type]="Income"))</f>
        <v>-109.95000000000009</v>
      </c>
      <c r="I73" s="51">
        <f>IF(AND(Tracking[[#This Row],[Type]]="Income",shift_late_income_status="Active",DAY(Tracking[[#This Row],[Date]])&gt;=shift_late_income_starting_day),DATE(YEAR(Tracking[[#This Row],[Date]]),MONTH(Tracking[[#This Row],[Date]])+1,1),Tracking[[#This Row],[Date]])</f>
        <v>45725</v>
      </c>
    </row>
    <row r="74" spans="3:9" hidden="1" x14ac:dyDescent="0.3">
      <c r="C74" s="41">
        <v>45725</v>
      </c>
      <c r="D74" s="39" t="s">
        <v>9</v>
      </c>
      <c r="E74" s="39" t="s">
        <v>10</v>
      </c>
      <c r="F74" s="139">
        <f>66.71+8.98</f>
        <v>75.69</v>
      </c>
      <c r="G74" s="40" t="s">
        <v>128</v>
      </c>
      <c r="H74" s="43" cm="1">
        <f t="array" ref="H74">SUMPRODUCT(Tracking[Amount],--(Tracking[Date]&lt;=Tracking[[#This Row],[Date]]),(Tracking[Type]&lt;&gt;"Income")*(-1)+(Tracking[Type]="Income"))</f>
        <v>-109.95000000000009</v>
      </c>
      <c r="I74" s="51">
        <f>IF(AND(Tracking[[#This Row],[Type]]="Income",shift_late_income_status="Active",DAY(Tracking[[#This Row],[Date]])&gt;=shift_late_income_starting_day),DATE(YEAR(Tracking[[#This Row],[Date]]),MONTH(Tracking[[#This Row],[Date]])+1,1),Tracking[[#This Row],[Date]])</f>
        <v>45725</v>
      </c>
    </row>
    <row r="75" spans="3:9" hidden="1" x14ac:dyDescent="0.3">
      <c r="C75" s="41">
        <v>45729</v>
      </c>
      <c r="D75" s="39" t="s">
        <v>9</v>
      </c>
      <c r="E75" s="39" t="s">
        <v>10</v>
      </c>
      <c r="F75" s="139">
        <v>11.85</v>
      </c>
      <c r="G75" s="40"/>
      <c r="H75" s="43" cm="1">
        <f t="array" ref="H75">SUMPRODUCT(Tracking[Amount],--(Tracking[Date]&lt;=Tracking[[#This Row],[Date]]),(Tracking[Type]&lt;&gt;"Income")*(-1)+(Tracking[Type]="Income"))</f>
        <v>-121.80000000000008</v>
      </c>
      <c r="I75" s="51">
        <f>IF(AND(Tracking[[#This Row],[Type]]="Income",shift_late_income_status="Active",DAY(Tracking[[#This Row],[Date]])&gt;=shift_late_income_starting_day),DATE(YEAR(Tracking[[#This Row],[Date]]),MONTH(Tracking[[#This Row],[Date]])+1,1),Tracking[[#This Row],[Date]])</f>
        <v>45729</v>
      </c>
    </row>
    <row r="76" spans="3:9" hidden="1" x14ac:dyDescent="0.3">
      <c r="C76" s="41">
        <v>45730</v>
      </c>
      <c r="D76" s="39" t="s">
        <v>5</v>
      </c>
      <c r="E76" s="39" t="s">
        <v>103</v>
      </c>
      <c r="F76" s="139">
        <v>159.13</v>
      </c>
      <c r="G76" s="40"/>
      <c r="H76" s="43" cm="1">
        <f t="array" ref="H76">SUMPRODUCT(Tracking[Amount],--(Tracking[Date]&lt;=Tracking[[#This Row],[Date]]),(Tracking[Type]&lt;&gt;"Income")*(-1)+(Tracking[Type]="Income"))</f>
        <v>-4.670000000000087</v>
      </c>
      <c r="I76" s="51">
        <f>IF(AND(Tracking[[#This Row],[Type]]="Income",shift_late_income_status="Active",DAY(Tracking[[#This Row],[Date]])&gt;=shift_late_income_starting_day),DATE(YEAR(Tracking[[#This Row],[Date]]),MONTH(Tracking[[#This Row],[Date]])+1,1),Tracking[[#This Row],[Date]])</f>
        <v>45730</v>
      </c>
    </row>
    <row r="77" spans="3:9" hidden="1" x14ac:dyDescent="0.3">
      <c r="C77" s="41">
        <v>45730</v>
      </c>
      <c r="D77" s="39" t="s">
        <v>9</v>
      </c>
      <c r="E77" s="39" t="s">
        <v>11</v>
      </c>
      <c r="F77" s="139">
        <v>42</v>
      </c>
      <c r="G77" s="40" t="s">
        <v>129</v>
      </c>
      <c r="H77" s="43" cm="1">
        <f t="array" ref="H77">SUMPRODUCT(Tracking[Amount],--(Tracking[Date]&lt;=Tracking[[#This Row],[Date]]),(Tracking[Type]&lt;&gt;"Income")*(-1)+(Tracking[Type]="Income"))</f>
        <v>-4.670000000000087</v>
      </c>
      <c r="I77" s="51">
        <f>IF(AND(Tracking[[#This Row],[Type]]="Income",shift_late_income_status="Active",DAY(Tracking[[#This Row],[Date]])&gt;=shift_late_income_starting_day),DATE(YEAR(Tracking[[#This Row],[Date]]),MONTH(Tracking[[#This Row],[Date]])+1,1),Tracking[[#This Row],[Date]])</f>
        <v>45730</v>
      </c>
    </row>
    <row r="78" spans="3:9" hidden="1" x14ac:dyDescent="0.3">
      <c r="C78" s="41">
        <v>45731</v>
      </c>
      <c r="D78" s="39" t="s">
        <v>9</v>
      </c>
      <c r="E78" s="39" t="s">
        <v>10</v>
      </c>
      <c r="F78" s="139">
        <v>8.23</v>
      </c>
      <c r="G78" s="40"/>
      <c r="H78" s="43" cm="1">
        <f t="array" ref="H78">SUMPRODUCT(Tracking[Amount],--(Tracking[Date]&lt;=Tracking[[#This Row],[Date]]),(Tracking[Type]&lt;&gt;"Income")*(-1)+(Tracking[Type]="Income"))</f>
        <v>-28.980000000000086</v>
      </c>
      <c r="I78" s="51">
        <f>IF(AND(Tracking[[#This Row],[Type]]="Income",shift_late_income_status="Active",DAY(Tracking[[#This Row],[Date]])&gt;=shift_late_income_starting_day),DATE(YEAR(Tracking[[#This Row],[Date]]),MONTH(Tracking[[#This Row],[Date]])+1,1),Tracking[[#This Row],[Date]])</f>
        <v>45731</v>
      </c>
    </row>
    <row r="79" spans="3:9" hidden="1" x14ac:dyDescent="0.3">
      <c r="C79" s="41">
        <v>45731</v>
      </c>
      <c r="D79" s="39" t="s">
        <v>9</v>
      </c>
      <c r="E79" s="39" t="s">
        <v>10</v>
      </c>
      <c r="F79" s="139">
        <v>16.079999999999998</v>
      </c>
      <c r="G79" s="40"/>
      <c r="H79" s="43" cm="1">
        <f t="array" ref="H79">SUMPRODUCT(Tracking[Amount],--(Tracking[Date]&lt;=Tracking[[#This Row],[Date]]),(Tracking[Type]&lt;&gt;"Income")*(-1)+(Tracking[Type]="Income"))</f>
        <v>-28.980000000000086</v>
      </c>
      <c r="I79" s="51">
        <f>IF(AND(Tracking[[#This Row],[Type]]="Income",shift_late_income_status="Active",DAY(Tracking[[#This Row],[Date]])&gt;=shift_late_income_starting_day),DATE(YEAR(Tracking[[#This Row],[Date]]),MONTH(Tracking[[#This Row],[Date]])+1,1),Tracking[[#This Row],[Date]])</f>
        <v>45731</v>
      </c>
    </row>
    <row r="80" spans="3:9" hidden="1" x14ac:dyDescent="0.3">
      <c r="C80" s="41">
        <v>45732</v>
      </c>
      <c r="D80" s="39" t="s">
        <v>9</v>
      </c>
      <c r="E80" s="39" t="s">
        <v>10</v>
      </c>
      <c r="F80" s="139">
        <v>7.56</v>
      </c>
      <c r="G80" s="40"/>
      <c r="H80" s="43" cm="1">
        <f t="array" ref="H80">SUMPRODUCT(Tracking[Amount],--(Tracking[Date]&lt;=Tracking[[#This Row],[Date]]),(Tracking[Type]&lt;&gt;"Income")*(-1)+(Tracking[Type]="Income"))</f>
        <v>-36.540000000000084</v>
      </c>
      <c r="I80" s="51">
        <f>IF(AND(Tracking[[#This Row],[Type]]="Income",shift_late_income_status="Active",DAY(Tracking[[#This Row],[Date]])&gt;=shift_late_income_starting_day),DATE(YEAR(Tracking[[#This Row],[Date]]),MONTH(Tracking[[#This Row],[Date]])+1,1),Tracking[[#This Row],[Date]])</f>
        <v>45732</v>
      </c>
    </row>
    <row r="81" spans="3:9" hidden="1" x14ac:dyDescent="0.3">
      <c r="C81" s="41">
        <v>45732</v>
      </c>
      <c r="D81" s="39" t="s">
        <v>5</v>
      </c>
      <c r="E81" s="39" t="s">
        <v>104</v>
      </c>
      <c r="F81" s="139">
        <v>15.76</v>
      </c>
      <c r="G81" s="40"/>
      <c r="H81" s="43" cm="1">
        <f t="array" ref="H81">SUMPRODUCT(Tracking[Amount],--(Tracking[Date]&lt;=Tracking[[#This Row],[Date]]),(Tracking[Type]&lt;&gt;"Income")*(-1)+(Tracking[Type]="Income"))</f>
        <v>-36.540000000000084</v>
      </c>
      <c r="I81" s="51">
        <f>IF(AND(Tracking[[#This Row],[Type]]="Income",shift_late_income_status="Active",DAY(Tracking[[#This Row],[Date]])&gt;=shift_late_income_starting_day),DATE(YEAR(Tracking[[#This Row],[Date]]),MONTH(Tracking[[#This Row],[Date]])+1,1),Tracking[[#This Row],[Date]])</f>
        <v>45732</v>
      </c>
    </row>
    <row r="82" spans="3:9" hidden="1" x14ac:dyDescent="0.3">
      <c r="C82" s="41">
        <v>45732</v>
      </c>
      <c r="D82" s="39" t="s">
        <v>14</v>
      </c>
      <c r="E82" s="39" t="s">
        <v>110</v>
      </c>
      <c r="F82" s="139">
        <v>15.76</v>
      </c>
      <c r="G82" s="40"/>
      <c r="H82" s="43" cm="1">
        <f t="array" ref="H82">SUMPRODUCT(Tracking[Amount],--(Tracking[Date]&lt;=Tracking[[#This Row],[Date]]),(Tracking[Type]&lt;&gt;"Income")*(-1)+(Tracking[Type]="Income"))</f>
        <v>-36.540000000000084</v>
      </c>
      <c r="I82" s="51">
        <f>IF(AND(Tracking[[#This Row],[Type]]="Income",shift_late_income_status="Active",DAY(Tracking[[#This Row],[Date]])&gt;=shift_late_income_starting_day),DATE(YEAR(Tracking[[#This Row],[Date]]),MONTH(Tracking[[#This Row],[Date]])+1,1),Tracking[[#This Row],[Date]])</f>
        <v>45732</v>
      </c>
    </row>
    <row r="83" spans="3:9" hidden="1" x14ac:dyDescent="0.3">
      <c r="C83" s="41">
        <v>45738</v>
      </c>
      <c r="D83" s="39" t="s">
        <v>9</v>
      </c>
      <c r="E83" s="39" t="s">
        <v>10</v>
      </c>
      <c r="F83" s="139">
        <v>12.65</v>
      </c>
      <c r="G83" s="40"/>
      <c r="H83" s="43" cm="1">
        <f t="array" ref="H83">SUMPRODUCT(Tracking[Amount],--(Tracking[Date]&lt;=Tracking[[#This Row],[Date]]),(Tracking[Type]&lt;&gt;"Income")*(-1)+(Tracking[Type]="Income"))</f>
        <v>-49.190000000000083</v>
      </c>
      <c r="I83" s="51">
        <f>IF(AND(Tracking[[#This Row],[Type]]="Income",shift_late_income_status="Active",DAY(Tracking[[#This Row],[Date]])&gt;=shift_late_income_starting_day),DATE(YEAR(Tracking[[#This Row],[Date]]),MONTH(Tracking[[#This Row],[Date]])+1,1),Tracking[[#This Row],[Date]])</f>
        <v>45738</v>
      </c>
    </row>
    <row r="84" spans="3:9" hidden="1" x14ac:dyDescent="0.3">
      <c r="C84" s="41">
        <v>45739</v>
      </c>
      <c r="D84" s="39" t="s">
        <v>9</v>
      </c>
      <c r="E84" s="39" t="s">
        <v>10</v>
      </c>
      <c r="F84" s="139">
        <v>5.17</v>
      </c>
      <c r="G84" s="40"/>
      <c r="H84" s="43" cm="1">
        <f t="array" ref="H84">SUMPRODUCT(Tracking[Amount],--(Tracking[Date]&lt;=Tracking[[#This Row],[Date]]),(Tracking[Type]&lt;&gt;"Income")*(-1)+(Tracking[Type]="Income"))</f>
        <v>-111.62000000000009</v>
      </c>
      <c r="I84" s="51">
        <f>IF(AND(Tracking[[#This Row],[Type]]="Income",shift_late_income_status="Active",DAY(Tracking[[#This Row],[Date]])&gt;=shift_late_income_starting_day),DATE(YEAR(Tracking[[#This Row],[Date]]),MONTH(Tracking[[#This Row],[Date]])+1,1),Tracking[[#This Row],[Date]])</f>
        <v>45739</v>
      </c>
    </row>
    <row r="85" spans="3:9" hidden="1" x14ac:dyDescent="0.3">
      <c r="C85" s="41">
        <v>45739</v>
      </c>
      <c r="D85" s="39" t="s">
        <v>9</v>
      </c>
      <c r="E85" s="39" t="s">
        <v>10</v>
      </c>
      <c r="F85" s="139">
        <v>57.26</v>
      </c>
      <c r="G85" s="40" t="s">
        <v>130</v>
      </c>
      <c r="H85" s="43" cm="1">
        <f t="array" ref="H85">SUMPRODUCT(Tracking[Amount],--(Tracking[Date]&lt;=Tracking[[#This Row],[Date]]),(Tracking[Type]&lt;&gt;"Income")*(-1)+(Tracking[Type]="Income"))</f>
        <v>-111.62000000000009</v>
      </c>
      <c r="I85" s="51">
        <f>IF(AND(Tracking[[#This Row],[Type]]="Income",shift_late_income_status="Active",DAY(Tracking[[#This Row],[Date]])&gt;=shift_late_income_starting_day),DATE(YEAR(Tracking[[#This Row],[Date]]),MONTH(Tracking[[#This Row],[Date]])+1,1),Tracking[[#This Row],[Date]])</f>
        <v>45739</v>
      </c>
    </row>
    <row r="86" spans="3:9" hidden="1" x14ac:dyDescent="0.3">
      <c r="C86" s="41">
        <v>45744</v>
      </c>
      <c r="D86" s="39" t="s">
        <v>5</v>
      </c>
      <c r="E86" s="39" t="s">
        <v>103</v>
      </c>
      <c r="F86" s="139">
        <v>159.47999999999999</v>
      </c>
      <c r="G86" s="40"/>
      <c r="H86" s="43" cm="1">
        <f t="array" ref="H86">SUMPRODUCT(Tracking[Amount],--(Tracking[Date]&lt;=Tracking[[#This Row],[Date]]),(Tracking[Type]&lt;&gt;"Income")*(-1)+(Tracking[Type]="Income"))</f>
        <v>47.8599999999999</v>
      </c>
      <c r="I86" s="51">
        <f>IF(AND(Tracking[[#This Row],[Type]]="Income",shift_late_income_status="Active",DAY(Tracking[[#This Row],[Date]])&gt;=shift_late_income_starting_day),DATE(YEAR(Tracking[[#This Row],[Date]]),MONTH(Tracking[[#This Row],[Date]])+1,1),Tracking[[#This Row],[Date]])</f>
        <v>45748</v>
      </c>
    </row>
    <row r="87" spans="3:9" hidden="1" x14ac:dyDescent="0.3">
      <c r="C87" s="41">
        <v>45750</v>
      </c>
      <c r="D87" s="39" t="s">
        <v>5</v>
      </c>
      <c r="E87" s="39" t="s">
        <v>106</v>
      </c>
      <c r="F87" s="139">
        <v>250</v>
      </c>
      <c r="G87" s="40"/>
      <c r="H87" s="43" cm="1">
        <f t="array" ref="H87">SUMPRODUCT(Tracking[Amount],--(Tracking[Date]&lt;=Tracking[[#This Row],[Date]]),(Tracking[Type]&lt;&gt;"Income")*(-1)+(Tracking[Type]="Income"))</f>
        <v>297.8599999999999</v>
      </c>
      <c r="I87" s="51">
        <f>IF(AND(Tracking[[#This Row],[Type]]="Income",shift_late_income_status="Active",DAY(Tracking[[#This Row],[Date]])&gt;=shift_late_income_starting_day),DATE(YEAR(Tracking[[#This Row],[Date]]),MONTH(Tracking[[#This Row],[Date]])+1,1),Tracking[[#This Row],[Date]])</f>
        <v>45750</v>
      </c>
    </row>
    <row r="88" spans="3:9" hidden="1" x14ac:dyDescent="0.3">
      <c r="C88" s="41">
        <v>45751</v>
      </c>
      <c r="D88" s="39" t="s">
        <v>9</v>
      </c>
      <c r="E88" s="39" t="s">
        <v>10</v>
      </c>
      <c r="F88" s="139">
        <v>4.99</v>
      </c>
      <c r="G88" s="40"/>
      <c r="H88" s="43" cm="1">
        <f t="array" ref="H88">SUMPRODUCT(Tracking[Amount],--(Tracking[Date]&lt;=Tracking[[#This Row],[Date]]),(Tracking[Type]&lt;&gt;"Income")*(-1)+(Tracking[Type]="Income"))</f>
        <v>261.82999999999987</v>
      </c>
      <c r="I88" s="51">
        <f>IF(AND(Tracking[[#This Row],[Type]]="Income",shift_late_income_status="Active",DAY(Tracking[[#This Row],[Date]])&gt;=shift_late_income_starting_day),DATE(YEAR(Tracking[[#This Row],[Date]]),MONTH(Tracking[[#This Row],[Date]])+1,1),Tracking[[#This Row],[Date]])</f>
        <v>45751</v>
      </c>
    </row>
    <row r="89" spans="3:9" hidden="1" x14ac:dyDescent="0.3">
      <c r="C89" s="41">
        <v>45751</v>
      </c>
      <c r="D89" s="39" t="s">
        <v>9</v>
      </c>
      <c r="E89" s="39" t="s">
        <v>10</v>
      </c>
      <c r="F89" s="139">
        <v>31.04</v>
      </c>
      <c r="G89" s="40"/>
      <c r="H89" s="43" cm="1">
        <f t="array" ref="H89">SUMPRODUCT(Tracking[Amount],--(Tracking[Date]&lt;=Tracking[[#This Row],[Date]]),(Tracking[Type]&lt;&gt;"Income")*(-1)+(Tracking[Type]="Income"))</f>
        <v>261.82999999999987</v>
      </c>
      <c r="I89" s="51">
        <f>IF(AND(Tracking[[#This Row],[Type]]="Income",shift_late_income_status="Active",DAY(Tracking[[#This Row],[Date]])&gt;=shift_late_income_starting_day),DATE(YEAR(Tracking[[#This Row],[Date]]),MONTH(Tracking[[#This Row],[Date]])+1,1),Tracking[[#This Row],[Date]])</f>
        <v>45751</v>
      </c>
    </row>
    <row r="90" spans="3:9" hidden="1" x14ac:dyDescent="0.3">
      <c r="C90" s="41">
        <v>45752</v>
      </c>
      <c r="D90" s="39" t="s">
        <v>9</v>
      </c>
      <c r="E90" s="39" t="s">
        <v>10</v>
      </c>
      <c r="F90" s="139">
        <v>22.83</v>
      </c>
      <c r="G90" s="40"/>
      <c r="H90" s="43" cm="1">
        <f t="array" ref="H90">SUMPRODUCT(Tracking[Amount],--(Tracking[Date]&lt;=Tracking[[#This Row],[Date]]),(Tracking[Type]&lt;&gt;"Income")*(-1)+(Tracking[Type]="Income"))</f>
        <v>238.99999999999989</v>
      </c>
      <c r="I90" s="51">
        <f>IF(AND(Tracking[[#This Row],[Type]]="Income",shift_late_income_status="Active",DAY(Tracking[[#This Row],[Date]])&gt;=shift_late_income_starting_day),DATE(YEAR(Tracking[[#This Row],[Date]]),MONTH(Tracking[[#This Row],[Date]])+1,1),Tracking[[#This Row],[Date]])</f>
        <v>45752</v>
      </c>
    </row>
    <row r="91" spans="3:9" hidden="1" x14ac:dyDescent="0.3">
      <c r="C91" s="41">
        <v>45754</v>
      </c>
      <c r="D91" s="39" t="s">
        <v>9</v>
      </c>
      <c r="E91" s="39" t="s">
        <v>11</v>
      </c>
      <c r="F91" s="139">
        <v>17.5</v>
      </c>
      <c r="G91" s="40"/>
      <c r="H91" s="43" cm="1">
        <f t="array" ref="H91">SUMPRODUCT(Tracking[Amount],--(Tracking[Date]&lt;=Tracking[[#This Row],[Date]]),(Tracking[Type]&lt;&gt;"Income")*(-1)+(Tracking[Type]="Income"))</f>
        <v>209.59999999999988</v>
      </c>
      <c r="I91" s="51">
        <f>IF(AND(Tracking[[#This Row],[Type]]="Income",shift_late_income_status="Active",DAY(Tracking[[#This Row],[Date]])&gt;=shift_late_income_starting_day),DATE(YEAR(Tracking[[#This Row],[Date]]),MONTH(Tracking[[#This Row],[Date]])+1,1),Tracking[[#This Row],[Date]])</f>
        <v>45754</v>
      </c>
    </row>
    <row r="92" spans="3:9" hidden="1" x14ac:dyDescent="0.3">
      <c r="C92" s="41">
        <v>45754</v>
      </c>
      <c r="D92" s="39" t="s">
        <v>9</v>
      </c>
      <c r="E92" s="39" t="s">
        <v>12</v>
      </c>
      <c r="F92" s="139">
        <v>11.9</v>
      </c>
      <c r="G92" s="40"/>
      <c r="H92" s="43" cm="1">
        <f t="array" ref="H92">SUMPRODUCT(Tracking[Amount],--(Tracking[Date]&lt;=Tracking[[#This Row],[Date]]),(Tracking[Type]&lt;&gt;"Income")*(-1)+(Tracking[Type]="Income"))</f>
        <v>209.59999999999988</v>
      </c>
      <c r="I92" s="51">
        <f>IF(AND(Tracking[[#This Row],[Type]]="Income",shift_late_income_status="Active",DAY(Tracking[[#This Row],[Date]])&gt;=shift_late_income_starting_day),DATE(YEAR(Tracking[[#This Row],[Date]]),MONTH(Tracking[[#This Row],[Date]])+1,1),Tracking[[#This Row],[Date]])</f>
        <v>45754</v>
      </c>
    </row>
    <row r="93" spans="3:9" hidden="1" x14ac:dyDescent="0.3">
      <c r="C93" s="41">
        <v>45758</v>
      </c>
      <c r="D93" s="39" t="s">
        <v>5</v>
      </c>
      <c r="E93" s="39" t="s">
        <v>103</v>
      </c>
      <c r="F93" s="139">
        <v>228.29</v>
      </c>
      <c r="G93" s="40"/>
      <c r="H93" s="43" cm="1">
        <f t="array" ref="H93">SUMPRODUCT(Tracking[Amount],--(Tracking[Date]&lt;=Tracking[[#This Row],[Date]]),(Tracking[Type]&lt;&gt;"Income")*(-1)+(Tracking[Type]="Income"))</f>
        <v>437.88999999999987</v>
      </c>
      <c r="I93" s="51">
        <f>IF(AND(Tracking[[#This Row],[Type]]="Income",shift_late_income_status="Active",DAY(Tracking[[#This Row],[Date]])&gt;=shift_late_income_starting_day),DATE(YEAR(Tracking[[#This Row],[Date]]),MONTH(Tracking[[#This Row],[Date]])+1,1),Tracking[[#This Row],[Date]])</f>
        <v>45758</v>
      </c>
    </row>
    <row r="94" spans="3:9" hidden="1" x14ac:dyDescent="0.3">
      <c r="C94" s="41">
        <v>45760</v>
      </c>
      <c r="D94" s="39" t="s">
        <v>9</v>
      </c>
      <c r="E94" s="39" t="s">
        <v>10</v>
      </c>
      <c r="F94" s="139">
        <v>22.98</v>
      </c>
      <c r="G94" s="40"/>
      <c r="H94" s="43" cm="1">
        <f t="array" ref="H94">SUMPRODUCT(Tracking[Amount],--(Tracking[Date]&lt;=Tracking[[#This Row],[Date]]),(Tracking[Type]&lt;&gt;"Income")*(-1)+(Tracking[Type]="Income"))</f>
        <v>140.03999999999985</v>
      </c>
      <c r="I94" s="51">
        <f>IF(AND(Tracking[[#This Row],[Type]]="Income",shift_late_income_status="Active",DAY(Tracking[[#This Row],[Date]])&gt;=shift_late_income_starting_day),DATE(YEAR(Tracking[[#This Row],[Date]]),MONTH(Tracking[[#This Row],[Date]])+1,1),Tracking[[#This Row],[Date]])</f>
        <v>45760</v>
      </c>
    </row>
    <row r="95" spans="3:9" hidden="1" x14ac:dyDescent="0.3">
      <c r="C95" s="41">
        <v>45760</v>
      </c>
      <c r="D95" s="39" t="s">
        <v>9</v>
      </c>
      <c r="E95" s="39" t="s">
        <v>10</v>
      </c>
      <c r="F95" s="139">
        <v>4.87</v>
      </c>
      <c r="G95" s="40"/>
      <c r="H95" s="43" cm="1">
        <f t="array" ref="H95">SUMPRODUCT(Tracking[Amount],--(Tracking[Date]&lt;=Tracking[[#This Row],[Date]]),(Tracking[Type]&lt;&gt;"Income")*(-1)+(Tracking[Type]="Income"))</f>
        <v>140.03999999999985</v>
      </c>
      <c r="I95" s="51">
        <f>IF(AND(Tracking[[#This Row],[Type]]="Income",shift_late_income_status="Active",DAY(Tracking[[#This Row],[Date]])&gt;=shift_late_income_starting_day),DATE(YEAR(Tracking[[#This Row],[Date]]),MONTH(Tracking[[#This Row],[Date]])+1,1),Tracking[[#This Row],[Date]])</f>
        <v>45760</v>
      </c>
    </row>
    <row r="96" spans="3:9" hidden="1" x14ac:dyDescent="0.3">
      <c r="C96" s="41">
        <v>45760</v>
      </c>
      <c r="D96" s="39" t="s">
        <v>9</v>
      </c>
      <c r="E96" s="39" t="s">
        <v>111</v>
      </c>
      <c r="F96" s="139">
        <v>270</v>
      </c>
      <c r="G96" s="40" t="s">
        <v>131</v>
      </c>
      <c r="H96" s="43" cm="1">
        <f t="array" ref="H96">SUMPRODUCT(Tracking[Amount],--(Tracking[Date]&lt;=Tracking[[#This Row],[Date]]),(Tracking[Type]&lt;&gt;"Income")*(-1)+(Tracking[Type]="Income"))</f>
        <v>140.03999999999985</v>
      </c>
      <c r="I96" s="51">
        <f>IF(AND(Tracking[[#This Row],[Type]]="Income",shift_late_income_status="Active",DAY(Tracking[[#This Row],[Date]])&gt;=shift_late_income_starting_day),DATE(YEAR(Tracking[[#This Row],[Date]]),MONTH(Tracking[[#This Row],[Date]])+1,1),Tracking[[#This Row],[Date]])</f>
        <v>45760</v>
      </c>
    </row>
    <row r="97" spans="3:9" hidden="1" x14ac:dyDescent="0.3">
      <c r="C97" s="41">
        <v>45761</v>
      </c>
      <c r="D97" s="39" t="s">
        <v>9</v>
      </c>
      <c r="E97" s="39" t="s">
        <v>108</v>
      </c>
      <c r="F97" s="139">
        <v>21.62</v>
      </c>
      <c r="G97" s="40"/>
      <c r="H97" s="43" cm="1">
        <f t="array" ref="H97">SUMPRODUCT(Tracking[Amount],--(Tracking[Date]&lt;=Tracking[[#This Row],[Date]]),(Tracking[Type]&lt;&gt;"Income")*(-1)+(Tracking[Type]="Income"))</f>
        <v>118.41999999999985</v>
      </c>
      <c r="I97" s="51">
        <f>IF(AND(Tracking[[#This Row],[Type]]="Income",shift_late_income_status="Active",DAY(Tracking[[#This Row],[Date]])&gt;=shift_late_income_starting_day),DATE(YEAR(Tracking[[#This Row],[Date]]),MONTH(Tracking[[#This Row],[Date]])+1,1),Tracking[[#This Row],[Date]])</f>
        <v>45761</v>
      </c>
    </row>
    <row r="98" spans="3:9" hidden="1" x14ac:dyDescent="0.3">
      <c r="C98" s="41">
        <v>45761</v>
      </c>
      <c r="D98" s="39" t="s">
        <v>5</v>
      </c>
      <c r="E98" s="39" t="s">
        <v>104</v>
      </c>
      <c r="F98" s="139">
        <v>3.44</v>
      </c>
      <c r="G98" s="40"/>
      <c r="H98" s="43" cm="1">
        <f t="array" ref="H98">SUMPRODUCT(Tracking[Amount],--(Tracking[Date]&lt;=Tracking[[#This Row],[Date]]),(Tracking[Type]&lt;&gt;"Income")*(-1)+(Tracking[Type]="Income"))</f>
        <v>118.41999999999985</v>
      </c>
      <c r="I98" s="51">
        <f>IF(AND(Tracking[[#This Row],[Type]]="Income",shift_late_income_status="Active",DAY(Tracking[[#This Row],[Date]])&gt;=shift_late_income_starting_day),DATE(YEAR(Tracking[[#This Row],[Date]]),MONTH(Tracking[[#This Row],[Date]])+1,1),Tracking[[#This Row],[Date]])</f>
        <v>45761</v>
      </c>
    </row>
    <row r="99" spans="3:9" hidden="1" x14ac:dyDescent="0.3">
      <c r="C99" s="41">
        <v>45761</v>
      </c>
      <c r="D99" s="39" t="s">
        <v>14</v>
      </c>
      <c r="E99" s="39" t="s">
        <v>109</v>
      </c>
      <c r="F99" s="139">
        <v>3.44</v>
      </c>
      <c r="G99" s="40"/>
      <c r="H99" s="43" cm="1">
        <f t="array" ref="H99">SUMPRODUCT(Tracking[Amount],--(Tracking[Date]&lt;=Tracking[[#This Row],[Date]]),(Tracking[Type]&lt;&gt;"Income")*(-1)+(Tracking[Type]="Income"))</f>
        <v>118.41999999999985</v>
      </c>
      <c r="I99" s="51">
        <f>IF(AND(Tracking[[#This Row],[Type]]="Income",shift_late_income_status="Active",DAY(Tracking[[#This Row],[Date]])&gt;=shift_late_income_starting_day),DATE(YEAR(Tracking[[#This Row],[Date]]),MONTH(Tracking[[#This Row],[Date]])+1,1),Tracking[[#This Row],[Date]])</f>
        <v>45761</v>
      </c>
    </row>
    <row r="100" spans="3:9" hidden="1" x14ac:dyDescent="0.3">
      <c r="C100" s="41">
        <v>45762</v>
      </c>
      <c r="D100" s="39" t="s">
        <v>5</v>
      </c>
      <c r="E100" s="39" t="s">
        <v>104</v>
      </c>
      <c r="F100" s="139">
        <v>17.7</v>
      </c>
      <c r="G100" s="40"/>
      <c r="H100" s="43" cm="1">
        <f t="array" ref="H100">SUMPRODUCT(Tracking[Amount],--(Tracking[Date]&lt;=Tracking[[#This Row],[Date]]),(Tracking[Type]&lt;&gt;"Income")*(-1)+(Tracking[Type]="Income"))</f>
        <v>118.41999999999983</v>
      </c>
      <c r="I100" s="51">
        <f>IF(AND(Tracking[[#This Row],[Type]]="Income",shift_late_income_status="Active",DAY(Tracking[[#This Row],[Date]])&gt;=shift_late_income_starting_day),DATE(YEAR(Tracking[[#This Row],[Date]]),MONTH(Tracking[[#This Row],[Date]])+1,1),Tracking[[#This Row],[Date]])</f>
        <v>45762</v>
      </c>
    </row>
    <row r="101" spans="3:9" hidden="1" x14ac:dyDescent="0.3">
      <c r="C101" s="41">
        <v>45762</v>
      </c>
      <c r="D101" s="39" t="s">
        <v>14</v>
      </c>
      <c r="E101" s="39" t="s">
        <v>110</v>
      </c>
      <c r="F101" s="139">
        <v>17.7</v>
      </c>
      <c r="G101" s="40"/>
      <c r="H101" s="43" cm="1">
        <f t="array" ref="H101">SUMPRODUCT(Tracking[Amount],--(Tracking[Date]&lt;=Tracking[[#This Row],[Date]]),(Tracking[Type]&lt;&gt;"Income")*(-1)+(Tracking[Type]="Income"))</f>
        <v>118.41999999999983</v>
      </c>
      <c r="I101" s="51">
        <f>IF(AND(Tracking[[#This Row],[Type]]="Income",shift_late_income_status="Active",DAY(Tracking[[#This Row],[Date]])&gt;=shift_late_income_starting_day),DATE(YEAR(Tracking[[#This Row],[Date]]),MONTH(Tracking[[#This Row],[Date]])+1,1),Tracking[[#This Row],[Date]])</f>
        <v>45762</v>
      </c>
    </row>
    <row r="102" spans="3:9" hidden="1" x14ac:dyDescent="0.3">
      <c r="C102" s="41">
        <v>45763</v>
      </c>
      <c r="D102" s="39" t="s">
        <v>9</v>
      </c>
      <c r="E102" s="39" t="s">
        <v>10</v>
      </c>
      <c r="F102" s="139">
        <v>12.76</v>
      </c>
      <c r="G102" s="40"/>
      <c r="H102" s="43" cm="1">
        <f t="array" ref="H102">SUMPRODUCT(Tracking[Amount],--(Tracking[Date]&lt;=Tracking[[#This Row],[Date]]),(Tracking[Type]&lt;&gt;"Income")*(-1)+(Tracking[Type]="Income"))</f>
        <v>105.65999999999983</v>
      </c>
      <c r="I102" s="51">
        <f>IF(AND(Tracking[[#This Row],[Type]]="Income",shift_late_income_status="Active",DAY(Tracking[[#This Row],[Date]])&gt;=shift_late_income_starting_day),DATE(YEAR(Tracking[[#This Row],[Date]]),MONTH(Tracking[[#This Row],[Date]])+1,1),Tracking[[#This Row],[Date]])</f>
        <v>45763</v>
      </c>
    </row>
    <row r="103" spans="3:9" hidden="1" x14ac:dyDescent="0.3">
      <c r="C103" s="41">
        <v>45764</v>
      </c>
      <c r="D103" s="39" t="s">
        <v>9</v>
      </c>
      <c r="E103" s="39" t="s">
        <v>108</v>
      </c>
      <c r="F103" s="139">
        <v>3.72</v>
      </c>
      <c r="G103" s="40"/>
      <c r="H103" s="43" cm="1">
        <f t="array" ref="H103">SUMPRODUCT(Tracking[Amount],--(Tracking[Date]&lt;=Tracking[[#This Row],[Date]]),(Tracking[Type]&lt;&gt;"Income")*(-1)+(Tracking[Type]="Income"))</f>
        <v>101.93999999999983</v>
      </c>
      <c r="I103" s="51">
        <f>IF(AND(Tracking[[#This Row],[Type]]="Income",shift_late_income_status="Active",DAY(Tracking[[#This Row],[Date]])&gt;=shift_late_income_starting_day),DATE(YEAR(Tracking[[#This Row],[Date]]),MONTH(Tracking[[#This Row],[Date]])+1,1),Tracking[[#This Row],[Date]])</f>
        <v>45764</v>
      </c>
    </row>
    <row r="104" spans="3:9" hidden="1" x14ac:dyDescent="0.3">
      <c r="C104" s="41">
        <v>45765</v>
      </c>
      <c r="D104" s="39" t="s">
        <v>9</v>
      </c>
      <c r="E104" s="39" t="s">
        <v>132</v>
      </c>
      <c r="F104" s="139">
        <f>37.87+3.25</f>
        <v>41.12</v>
      </c>
      <c r="G104" s="40"/>
      <c r="H104" s="43" cm="1">
        <f t="array" ref="H104">SUMPRODUCT(Tracking[Amount],--(Tracking[Date]&lt;=Tracking[[#This Row],[Date]]),(Tracking[Type]&lt;&gt;"Income")*(-1)+(Tracking[Type]="Income"))</f>
        <v>140.81999999999982</v>
      </c>
      <c r="I104" s="51">
        <f>IF(AND(Tracking[[#This Row],[Type]]="Income",shift_late_income_status="Active",DAY(Tracking[[#This Row],[Date]])&gt;=shift_late_income_starting_day),DATE(YEAR(Tracking[[#This Row],[Date]]),MONTH(Tracking[[#This Row],[Date]])+1,1),Tracking[[#This Row],[Date]])</f>
        <v>45765</v>
      </c>
    </row>
    <row r="105" spans="3:9" hidden="1" x14ac:dyDescent="0.3">
      <c r="C105" s="41">
        <v>45765</v>
      </c>
      <c r="D105" s="39" t="s">
        <v>5</v>
      </c>
      <c r="E105" s="39" t="s">
        <v>105</v>
      </c>
      <c r="F105" s="139">
        <v>80</v>
      </c>
      <c r="G105" s="40"/>
      <c r="H105" s="43" cm="1">
        <f t="array" ref="H105">SUMPRODUCT(Tracking[Amount],--(Tracking[Date]&lt;=Tracking[[#This Row],[Date]]),(Tracking[Type]&lt;&gt;"Income")*(-1)+(Tracking[Type]="Income"))</f>
        <v>140.81999999999982</v>
      </c>
      <c r="I105" s="51">
        <f>IF(AND(Tracking[[#This Row],[Type]]="Income",shift_late_income_status="Active",DAY(Tracking[[#This Row],[Date]])&gt;=shift_late_income_starting_day),DATE(YEAR(Tracking[[#This Row],[Date]]),MONTH(Tracking[[#This Row],[Date]])+1,1),Tracking[[#This Row],[Date]])</f>
        <v>45765</v>
      </c>
    </row>
    <row r="106" spans="3:9" hidden="1" x14ac:dyDescent="0.3">
      <c r="C106" s="41">
        <v>45767</v>
      </c>
      <c r="D106" s="39" t="s">
        <v>9</v>
      </c>
      <c r="E106" s="39" t="s">
        <v>108</v>
      </c>
      <c r="F106" s="139">
        <v>52.42</v>
      </c>
      <c r="G106" s="40"/>
      <c r="H106" s="43" cm="1">
        <f t="array" ref="H106">SUMPRODUCT(Tracking[Amount],--(Tracking[Date]&lt;=Tracking[[#This Row],[Date]]),(Tracking[Type]&lt;&gt;"Income")*(-1)+(Tracking[Type]="Income"))</f>
        <v>88.399999999999821</v>
      </c>
      <c r="I106" s="51">
        <f>IF(AND(Tracking[[#This Row],[Type]]="Income",shift_late_income_status="Active",DAY(Tracking[[#This Row],[Date]])&gt;=shift_late_income_starting_day),DATE(YEAR(Tracking[[#This Row],[Date]]),MONTH(Tracking[[#This Row],[Date]])+1,1),Tracking[[#This Row],[Date]])</f>
        <v>45767</v>
      </c>
    </row>
    <row r="107" spans="3:9" hidden="1" x14ac:dyDescent="0.3">
      <c r="C107" s="41">
        <v>45769</v>
      </c>
      <c r="D107" s="39" t="s">
        <v>5</v>
      </c>
      <c r="E107" s="39" t="s">
        <v>104</v>
      </c>
      <c r="F107" s="139">
        <v>2.95</v>
      </c>
      <c r="G107" s="40"/>
      <c r="H107" s="43" cm="1">
        <f t="array" ref="H107">SUMPRODUCT(Tracking[Amount],--(Tracking[Date]&lt;=Tracking[[#This Row],[Date]]),(Tracking[Type]&lt;&gt;"Income")*(-1)+(Tracking[Type]="Income"))</f>
        <v>88.399999999999821</v>
      </c>
      <c r="I107" s="51">
        <f>IF(AND(Tracking[[#This Row],[Type]]="Income",shift_late_income_status="Active",DAY(Tracking[[#This Row],[Date]])&gt;=shift_late_income_starting_day),DATE(YEAR(Tracking[[#This Row],[Date]]),MONTH(Tracking[[#This Row],[Date]])+1,1),Tracking[[#This Row],[Date]])</f>
        <v>45769</v>
      </c>
    </row>
    <row r="108" spans="3:9" hidden="1" x14ac:dyDescent="0.3">
      <c r="C108" s="41">
        <v>45769</v>
      </c>
      <c r="D108" s="39" t="s">
        <v>14</v>
      </c>
      <c r="E108" s="39" t="s">
        <v>109</v>
      </c>
      <c r="F108" s="139">
        <v>2.95</v>
      </c>
      <c r="G108" s="40"/>
      <c r="H108" s="43" cm="1">
        <f t="array" ref="H108">SUMPRODUCT(Tracking[Amount],--(Tracking[Date]&lt;=Tracking[[#This Row],[Date]]),(Tracking[Type]&lt;&gt;"Income")*(-1)+(Tracking[Type]="Income"))</f>
        <v>88.399999999999821</v>
      </c>
      <c r="I108" s="51">
        <f>IF(AND(Tracking[[#This Row],[Type]]="Income",shift_late_income_status="Active",DAY(Tracking[[#This Row],[Date]])&gt;=shift_late_income_starting_day),DATE(YEAR(Tracking[[#This Row],[Date]]),MONTH(Tracking[[#This Row],[Date]])+1,1),Tracking[[#This Row],[Date]])</f>
        <v>45769</v>
      </c>
    </row>
    <row r="109" spans="3:9" hidden="1" x14ac:dyDescent="0.3">
      <c r="C109" s="41">
        <v>45770</v>
      </c>
      <c r="D109" s="39" t="s">
        <v>9</v>
      </c>
      <c r="E109" s="39" t="s">
        <v>108</v>
      </c>
      <c r="F109" s="139">
        <f>7.32+9.74+8.34</f>
        <v>25.400000000000002</v>
      </c>
      <c r="G109" s="40" t="s">
        <v>133</v>
      </c>
      <c r="H109" s="43" cm="1">
        <f t="array" ref="H109">SUMPRODUCT(Tracking[Amount],--(Tracking[Date]&lt;=Tracking[[#This Row],[Date]]),(Tracking[Type]&lt;&gt;"Income")*(-1)+(Tracking[Type]="Income"))</f>
        <v>62.999999999999815</v>
      </c>
      <c r="I109" s="51">
        <f>IF(AND(Tracking[[#This Row],[Type]]="Income",shift_late_income_status="Active",DAY(Tracking[[#This Row],[Date]])&gt;=shift_late_income_starting_day),DATE(YEAR(Tracking[[#This Row],[Date]]),MONTH(Tracking[[#This Row],[Date]])+1,1),Tracking[[#This Row],[Date]])</f>
        <v>45770</v>
      </c>
    </row>
    <row r="110" spans="3:9" hidden="1" x14ac:dyDescent="0.3">
      <c r="C110" s="41">
        <v>45772</v>
      </c>
      <c r="D110" s="39" t="s">
        <v>5</v>
      </c>
      <c r="E110" s="39" t="s">
        <v>103</v>
      </c>
      <c r="F110" s="139">
        <v>243.43</v>
      </c>
      <c r="G110" s="40"/>
      <c r="H110" s="43" cm="1">
        <f t="array" ref="H110">SUMPRODUCT(Tracking[Amount],--(Tracking[Date]&lt;=Tracking[[#This Row],[Date]]),(Tracking[Type]&lt;&gt;"Income")*(-1)+(Tracking[Type]="Income"))</f>
        <v>306.42999999999984</v>
      </c>
      <c r="I110" s="51">
        <f>IF(AND(Tracking[[#This Row],[Type]]="Income",shift_late_income_status="Active",DAY(Tracking[[#This Row],[Date]])&gt;=shift_late_income_starting_day),DATE(YEAR(Tracking[[#This Row],[Date]]),MONTH(Tracking[[#This Row],[Date]])+1,1),Tracking[[#This Row],[Date]])</f>
        <v>45778</v>
      </c>
    </row>
    <row r="111" spans="3:9" hidden="1" x14ac:dyDescent="0.3">
      <c r="C111" s="41">
        <v>45773</v>
      </c>
      <c r="D111" s="39" t="s">
        <v>9</v>
      </c>
      <c r="E111" s="39" t="s">
        <v>10</v>
      </c>
      <c r="F111" s="139">
        <f>30+11.93</f>
        <v>41.93</v>
      </c>
      <c r="G111" s="40" t="s">
        <v>134</v>
      </c>
      <c r="H111" s="43" cm="1">
        <f t="array" ref="H111">SUMPRODUCT(Tracking[Amount],--(Tracking[Date]&lt;=Tracking[[#This Row],[Date]]),(Tracking[Type]&lt;&gt;"Income")*(-1)+(Tracking[Type]="Income"))</f>
        <v>249.78999999999982</v>
      </c>
      <c r="I111" s="51">
        <f>IF(AND(Tracking[[#This Row],[Type]]="Income",shift_late_income_status="Active",DAY(Tracking[[#This Row],[Date]])&gt;=shift_late_income_starting_day),DATE(YEAR(Tracking[[#This Row],[Date]]),MONTH(Tracking[[#This Row],[Date]])+1,1),Tracking[[#This Row],[Date]])</f>
        <v>45773</v>
      </c>
    </row>
    <row r="112" spans="3:9" hidden="1" x14ac:dyDescent="0.3">
      <c r="C112" s="41">
        <v>45773</v>
      </c>
      <c r="D112" s="39" t="s">
        <v>9</v>
      </c>
      <c r="E112" s="39" t="s">
        <v>12</v>
      </c>
      <c r="F112" s="139">
        <v>14.71</v>
      </c>
      <c r="G112" s="40"/>
      <c r="H112" s="43" cm="1">
        <f t="array" ref="H112">SUMPRODUCT(Tracking[Amount],--(Tracking[Date]&lt;=Tracking[[#This Row],[Date]]),(Tracking[Type]&lt;&gt;"Income")*(-1)+(Tracking[Type]="Income"))</f>
        <v>249.78999999999982</v>
      </c>
      <c r="I112" s="51">
        <f>IF(AND(Tracking[[#This Row],[Type]]="Income",shift_late_income_status="Active",DAY(Tracking[[#This Row],[Date]])&gt;=shift_late_income_starting_day),DATE(YEAR(Tracking[[#This Row],[Date]]),MONTH(Tracking[[#This Row],[Date]])+1,1),Tracking[[#This Row],[Date]])</f>
        <v>45773</v>
      </c>
    </row>
    <row r="113" spans="3:9" hidden="1" x14ac:dyDescent="0.3">
      <c r="C113" s="41">
        <v>45774</v>
      </c>
      <c r="D113" s="39" t="s">
        <v>14</v>
      </c>
      <c r="E113" s="39" t="s">
        <v>110</v>
      </c>
      <c r="F113" s="139">
        <v>101</v>
      </c>
      <c r="G113" s="40"/>
      <c r="H113" s="43" cm="1">
        <f t="array" ref="H113">SUMPRODUCT(Tracking[Amount],--(Tracking[Date]&lt;=Tracking[[#This Row],[Date]]),(Tracking[Type]&lt;&gt;"Income")*(-1)+(Tracking[Type]="Income"))</f>
        <v>131.78999999999982</v>
      </c>
      <c r="I113" s="51">
        <f>IF(AND(Tracking[[#This Row],[Type]]="Income",shift_late_income_status="Active",DAY(Tracking[[#This Row],[Date]])&gt;=shift_late_income_starting_day),DATE(YEAR(Tracking[[#This Row],[Date]]),MONTH(Tracking[[#This Row],[Date]])+1,1),Tracking[[#This Row],[Date]])</f>
        <v>45774</v>
      </c>
    </row>
    <row r="114" spans="3:9" hidden="1" x14ac:dyDescent="0.3">
      <c r="C114" s="41">
        <v>45774</v>
      </c>
      <c r="D114" s="39" t="s">
        <v>9</v>
      </c>
      <c r="E114" s="39" t="s">
        <v>108</v>
      </c>
      <c r="F114" s="139">
        <v>17</v>
      </c>
      <c r="G114" s="40"/>
      <c r="H114" s="43" cm="1">
        <f t="array" ref="H114">SUMPRODUCT(Tracking[Amount],--(Tracking[Date]&lt;=Tracking[[#This Row],[Date]]),(Tracking[Type]&lt;&gt;"Income")*(-1)+(Tracking[Type]="Income"))</f>
        <v>131.78999999999982</v>
      </c>
      <c r="I114" s="51">
        <f>IF(AND(Tracking[[#This Row],[Type]]="Income",shift_late_income_status="Active",DAY(Tracking[[#This Row],[Date]])&gt;=shift_late_income_starting_day),DATE(YEAR(Tracking[[#This Row],[Date]]),MONTH(Tracking[[#This Row],[Date]])+1,1),Tracking[[#This Row],[Date]])</f>
        <v>45774</v>
      </c>
    </row>
    <row r="115" spans="3:9" hidden="1" x14ac:dyDescent="0.3">
      <c r="C115" s="41">
        <v>45778</v>
      </c>
      <c r="D115" s="39" t="s">
        <v>9</v>
      </c>
      <c r="E115" s="39" t="s">
        <v>111</v>
      </c>
      <c r="F115" s="139">
        <v>3.99</v>
      </c>
      <c r="G115" s="40" t="s">
        <v>142</v>
      </c>
      <c r="H115" s="43" cm="1">
        <f t="array" ref="H115">SUMPRODUCT(Tracking[Amount],--(Tracking[Date]&lt;=Tracking[[#This Row],[Date]]),(Tracking[Type]&lt;&gt;"Income")*(-1)+(Tracking[Type]="Income"))</f>
        <v>127.79999999999983</v>
      </c>
      <c r="I115" s="51">
        <f>IF(AND(Tracking[[#This Row],[Type]]="Income",shift_late_income_status="Active",DAY(Tracking[[#This Row],[Date]])&gt;=shift_late_income_starting_day),DATE(YEAR(Tracking[[#This Row],[Date]]),MONTH(Tracking[[#This Row],[Date]])+1,1),Tracking[[#This Row],[Date]])</f>
        <v>45778</v>
      </c>
    </row>
    <row r="116" spans="3:9" hidden="1" x14ac:dyDescent="0.3">
      <c r="C116" s="41">
        <v>45779</v>
      </c>
      <c r="D116" s="39" t="s">
        <v>9</v>
      </c>
      <c r="E116" s="39" t="s">
        <v>11</v>
      </c>
      <c r="F116" s="139">
        <v>32.479999999999997</v>
      </c>
      <c r="G116" s="40"/>
      <c r="H116" s="43" cm="1">
        <f t="array" ref="H116">SUMPRODUCT(Tracking[Amount],--(Tracking[Date]&lt;=Tracking[[#This Row],[Date]]),(Tracking[Type]&lt;&gt;"Income")*(-1)+(Tracking[Type]="Income"))</f>
        <v>95.319999999999823</v>
      </c>
      <c r="I116" s="51">
        <f>IF(AND(Tracking[[#This Row],[Type]]="Income",shift_late_income_status="Active",DAY(Tracking[[#This Row],[Date]])&gt;=shift_late_income_starting_day),DATE(YEAR(Tracking[[#This Row],[Date]]),MONTH(Tracking[[#This Row],[Date]])+1,1),Tracking[[#This Row],[Date]])</f>
        <v>45779</v>
      </c>
    </row>
    <row r="117" spans="3:9" hidden="1" x14ac:dyDescent="0.3">
      <c r="C117" s="41">
        <v>45780</v>
      </c>
      <c r="D117" s="39" t="s">
        <v>9</v>
      </c>
      <c r="E117" s="39" t="s">
        <v>111</v>
      </c>
      <c r="F117" s="139">
        <v>39.99</v>
      </c>
      <c r="G117" s="40" t="s">
        <v>143</v>
      </c>
      <c r="H117" s="43" cm="1">
        <f t="array" ref="H117">SUMPRODUCT(Tracking[Amount],--(Tracking[Date]&lt;=Tracking[[#This Row],[Date]]),(Tracking[Type]&lt;&gt;"Income")*(-1)+(Tracking[Type]="Income"))</f>
        <v>27.70999999999982</v>
      </c>
      <c r="I117" s="51">
        <f>IF(AND(Tracking[[#This Row],[Type]]="Income",shift_late_income_status="Active",DAY(Tracking[[#This Row],[Date]])&gt;=shift_late_income_starting_day),DATE(YEAR(Tracking[[#This Row],[Date]]),MONTH(Tracking[[#This Row],[Date]])+1,1),Tracking[[#This Row],[Date]])</f>
        <v>45780</v>
      </c>
    </row>
    <row r="118" spans="3:9" hidden="1" x14ac:dyDescent="0.3">
      <c r="C118" s="41">
        <v>45780</v>
      </c>
      <c r="D118" s="39" t="s">
        <v>9</v>
      </c>
      <c r="E118" s="39" t="s">
        <v>10</v>
      </c>
      <c r="F118" s="139">
        <v>27.62</v>
      </c>
      <c r="G118" s="40" t="s">
        <v>144</v>
      </c>
      <c r="H118" s="43" cm="1">
        <f t="array" ref="H118">SUMPRODUCT(Tracking[Amount],--(Tracking[Date]&lt;=Tracking[[#This Row],[Date]]),(Tracking[Type]&lt;&gt;"Income")*(-1)+(Tracking[Type]="Income"))</f>
        <v>27.70999999999982</v>
      </c>
      <c r="I118" s="51">
        <f>IF(AND(Tracking[[#This Row],[Type]]="Income",shift_late_income_status="Active",DAY(Tracking[[#This Row],[Date]])&gt;=shift_late_income_starting_day),DATE(YEAR(Tracking[[#This Row],[Date]]),MONTH(Tracking[[#This Row],[Date]])+1,1),Tracking[[#This Row],[Date]])</f>
        <v>45780</v>
      </c>
    </row>
    <row r="119" spans="3:9" hidden="1" x14ac:dyDescent="0.3">
      <c r="C119" s="41">
        <v>45781</v>
      </c>
      <c r="D119" s="39" t="s">
        <v>9</v>
      </c>
      <c r="E119" s="39" t="s">
        <v>10</v>
      </c>
      <c r="F119" s="139">
        <v>16.920000000000002</v>
      </c>
      <c r="G119" s="40" t="s">
        <v>145</v>
      </c>
      <c r="H119" s="43" cm="1">
        <f t="array" ref="H119">SUMPRODUCT(Tracking[Amount],--(Tracking[Date]&lt;=Tracking[[#This Row],[Date]]),(Tracking[Type]&lt;&gt;"Income")*(-1)+(Tracking[Type]="Income"))</f>
        <v>10.789999999999818</v>
      </c>
      <c r="I119" s="51">
        <f>IF(AND(Tracking[[#This Row],[Type]]="Income",shift_late_income_status="Active",DAY(Tracking[[#This Row],[Date]])&gt;=shift_late_income_starting_day),DATE(YEAR(Tracking[[#This Row],[Date]]),MONTH(Tracking[[#This Row],[Date]])+1,1),Tracking[[#This Row],[Date]])</f>
        <v>45781</v>
      </c>
    </row>
    <row r="120" spans="3:9" hidden="1" x14ac:dyDescent="0.3">
      <c r="C120" s="41">
        <v>45782</v>
      </c>
      <c r="D120" s="39" t="s">
        <v>9</v>
      </c>
      <c r="E120" s="39" t="s">
        <v>10</v>
      </c>
      <c r="F120" s="139">
        <v>7.58</v>
      </c>
      <c r="G120" s="40"/>
      <c r="H120" s="43" cm="1">
        <f t="array" ref="H120">SUMPRODUCT(Tracking[Amount],--(Tracking[Date]&lt;=Tracking[[#This Row],[Date]]),(Tracking[Type]&lt;&gt;"Income")*(-1)+(Tracking[Type]="Income"))</f>
        <v>-1.7900000000001821</v>
      </c>
      <c r="I120" s="51">
        <f>IF(AND(Tracking[[#This Row],[Type]]="Income",shift_late_income_status="Active",DAY(Tracking[[#This Row],[Date]])&gt;=shift_late_income_starting_day),DATE(YEAR(Tracking[[#This Row],[Date]]),MONTH(Tracking[[#This Row],[Date]])+1,1),Tracking[[#This Row],[Date]])</f>
        <v>45782</v>
      </c>
    </row>
    <row r="121" spans="3:9" hidden="1" x14ac:dyDescent="0.3">
      <c r="C121" s="41">
        <v>45782</v>
      </c>
      <c r="D121" s="39" t="s">
        <v>9</v>
      </c>
      <c r="E121" s="39" t="s">
        <v>12</v>
      </c>
      <c r="F121" s="139">
        <v>5</v>
      </c>
      <c r="G121" s="40"/>
      <c r="H121" s="43" cm="1">
        <f t="array" ref="H121">SUMPRODUCT(Tracking[Amount],--(Tracking[Date]&lt;=Tracking[[#This Row],[Date]]),(Tracking[Type]&lt;&gt;"Income")*(-1)+(Tracking[Type]="Income"))</f>
        <v>-1.7900000000001821</v>
      </c>
      <c r="I121" s="51">
        <f>IF(AND(Tracking[[#This Row],[Type]]="Income",shift_late_income_status="Active",DAY(Tracking[[#This Row],[Date]])&gt;=shift_late_income_starting_day),DATE(YEAR(Tracking[[#This Row],[Date]]),MONTH(Tracking[[#This Row],[Date]])+1,1),Tracking[[#This Row],[Date]])</f>
        <v>45782</v>
      </c>
    </row>
    <row r="122" spans="3:9" hidden="1" x14ac:dyDescent="0.3">
      <c r="C122" s="41">
        <v>45785</v>
      </c>
      <c r="D122" s="39" t="s">
        <v>9</v>
      </c>
      <c r="E122" s="39" t="s">
        <v>10</v>
      </c>
      <c r="F122" s="139">
        <v>46.52</v>
      </c>
      <c r="G122" s="40"/>
      <c r="H122" s="43" cm="1">
        <f t="array" ref="H122">SUMPRODUCT(Tracking[Amount],--(Tracking[Date]&lt;=Tracking[[#This Row],[Date]]),(Tracking[Type]&lt;&gt;"Income")*(-1)+(Tracking[Type]="Income"))</f>
        <v>-48.310000000000187</v>
      </c>
      <c r="I122" s="51">
        <f>IF(AND(Tracking[[#This Row],[Type]]="Income",shift_late_income_status="Active",DAY(Tracking[[#This Row],[Date]])&gt;=shift_late_income_starting_day),DATE(YEAR(Tracking[[#This Row],[Date]]),MONTH(Tracking[[#This Row],[Date]])+1,1),Tracking[[#This Row],[Date]])</f>
        <v>45785</v>
      </c>
    </row>
    <row r="123" spans="3:9" hidden="1" x14ac:dyDescent="0.3">
      <c r="C123" s="41">
        <v>45786</v>
      </c>
      <c r="D123" s="39" t="s">
        <v>5</v>
      </c>
      <c r="E123" s="39" t="s">
        <v>103</v>
      </c>
      <c r="F123" s="139">
        <v>212.87</v>
      </c>
      <c r="G123" s="40"/>
      <c r="H123" s="43" cm="1">
        <f t="array" ref="H123">SUMPRODUCT(Tracking[Amount],--(Tracking[Date]&lt;=Tracking[[#This Row],[Date]]),(Tracking[Type]&lt;&gt;"Income")*(-1)+(Tracking[Type]="Income"))</f>
        <v>152.33999999999983</v>
      </c>
      <c r="I123" s="51">
        <f>IF(AND(Tracking[[#This Row],[Type]]="Income",shift_late_income_status="Active",DAY(Tracking[[#This Row],[Date]])&gt;=shift_late_income_starting_day),DATE(YEAR(Tracking[[#This Row],[Date]]),MONTH(Tracking[[#This Row],[Date]])+1,1),Tracking[[#This Row],[Date]])</f>
        <v>45786</v>
      </c>
    </row>
    <row r="124" spans="3:9" hidden="1" x14ac:dyDescent="0.3">
      <c r="C124" s="41">
        <v>45786</v>
      </c>
      <c r="D124" s="39" t="s">
        <v>9</v>
      </c>
      <c r="E124" s="39" t="s">
        <v>10</v>
      </c>
      <c r="F124" s="139">
        <v>12.22</v>
      </c>
      <c r="G124" s="40"/>
      <c r="H124" s="43" cm="1">
        <f t="array" ref="H124">SUMPRODUCT(Tracking[Amount],--(Tracking[Date]&lt;=Tracking[[#This Row],[Date]]),(Tracking[Type]&lt;&gt;"Income")*(-1)+(Tracking[Type]="Income"))</f>
        <v>152.33999999999983</v>
      </c>
      <c r="I124" s="51">
        <f>IF(AND(Tracking[[#This Row],[Type]]="Income",shift_late_income_status="Active",DAY(Tracking[[#This Row],[Date]])&gt;=shift_late_income_starting_day),DATE(YEAR(Tracking[[#This Row],[Date]]),MONTH(Tracking[[#This Row],[Date]])+1,1),Tracking[[#This Row],[Date]])</f>
        <v>45786</v>
      </c>
    </row>
    <row r="125" spans="3:9" hidden="1" x14ac:dyDescent="0.3">
      <c r="C125" s="41">
        <v>45790</v>
      </c>
      <c r="D125" s="39" t="s">
        <v>9</v>
      </c>
      <c r="E125" s="39" t="s">
        <v>10</v>
      </c>
      <c r="F125" s="139">
        <v>9.6999999999999993</v>
      </c>
      <c r="G125" s="40"/>
      <c r="H125" s="43" cm="1">
        <f t="array" ref="H125">SUMPRODUCT(Tracking[Amount],--(Tracking[Date]&lt;=Tracking[[#This Row],[Date]]),(Tracking[Type]&lt;&gt;"Income")*(-1)+(Tracking[Type]="Income"))</f>
        <v>142.63999999999984</v>
      </c>
      <c r="I125" s="51">
        <f>IF(AND(Tracking[[#This Row],[Type]]="Income",shift_late_income_status="Active",DAY(Tracking[[#This Row],[Date]])&gt;=shift_late_income_starting_day),DATE(YEAR(Tracking[[#This Row],[Date]]),MONTH(Tracking[[#This Row],[Date]])+1,1),Tracking[[#This Row],[Date]])</f>
        <v>45790</v>
      </c>
    </row>
    <row r="126" spans="3:9" hidden="1" x14ac:dyDescent="0.3">
      <c r="C126" s="41">
        <v>45792</v>
      </c>
      <c r="D126" s="39" t="s">
        <v>9</v>
      </c>
      <c r="E126" s="39" t="s">
        <v>111</v>
      </c>
      <c r="F126" s="139">
        <v>20</v>
      </c>
      <c r="G126" s="40" t="s">
        <v>147</v>
      </c>
      <c r="H126" s="43" cm="1">
        <f t="array" ref="H126">SUMPRODUCT(Tracking[Amount],--(Tracking[Date]&lt;=Tracking[[#This Row],[Date]]),(Tracking[Type]&lt;&gt;"Income")*(-1)+(Tracking[Type]="Income"))</f>
        <v>122.63999999999984</v>
      </c>
      <c r="I126" s="51">
        <f>IF(AND(Tracking[[#This Row],[Type]]="Income",shift_late_income_status="Active",DAY(Tracking[[#This Row],[Date]])&gt;=shift_late_income_starting_day),DATE(YEAR(Tracking[[#This Row],[Date]]),MONTH(Tracking[[#This Row],[Date]])+1,1),Tracking[[#This Row],[Date]])</f>
        <v>45792</v>
      </c>
    </row>
    <row r="127" spans="3:9" hidden="1" x14ac:dyDescent="0.3">
      <c r="C127" s="41">
        <v>45792</v>
      </c>
      <c r="D127" s="39" t="s">
        <v>5</v>
      </c>
      <c r="E127" s="39" t="s">
        <v>104</v>
      </c>
      <c r="F127" s="139">
        <v>14.21</v>
      </c>
      <c r="G127" s="40"/>
      <c r="H127" s="43" cm="1">
        <f t="array" ref="H127">SUMPRODUCT(Tracking[Amount],--(Tracking[Date]&lt;=Tracking[[#This Row],[Date]]),(Tracking[Type]&lt;&gt;"Income")*(-1)+(Tracking[Type]="Income"))</f>
        <v>122.63999999999984</v>
      </c>
      <c r="I127" s="51">
        <f>IF(AND(Tracking[[#This Row],[Type]]="Income",shift_late_income_status="Active",DAY(Tracking[[#This Row],[Date]])&gt;=shift_late_income_starting_day),DATE(YEAR(Tracking[[#This Row],[Date]]),MONTH(Tracking[[#This Row],[Date]])+1,1),Tracking[[#This Row],[Date]])</f>
        <v>45792</v>
      </c>
    </row>
    <row r="128" spans="3:9" hidden="1" x14ac:dyDescent="0.3">
      <c r="C128" s="41">
        <v>45792</v>
      </c>
      <c r="D128" s="39" t="s">
        <v>14</v>
      </c>
      <c r="E128" s="39" t="s">
        <v>110</v>
      </c>
      <c r="F128" s="139">
        <v>14.21</v>
      </c>
      <c r="G128" s="40"/>
      <c r="H128" s="43" cm="1">
        <f t="array" ref="H128">SUMPRODUCT(Tracking[Amount],--(Tracking[Date]&lt;=Tracking[[#This Row],[Date]]),(Tracking[Type]&lt;&gt;"Income")*(-1)+(Tracking[Type]="Income"))</f>
        <v>122.63999999999984</v>
      </c>
      <c r="I128" s="51">
        <f>IF(AND(Tracking[[#This Row],[Type]]="Income",shift_late_income_status="Active",DAY(Tracking[[#This Row],[Date]])&gt;=shift_late_income_starting_day),DATE(YEAR(Tracking[[#This Row],[Date]]),MONTH(Tracking[[#This Row],[Date]])+1,1),Tracking[[#This Row],[Date]])</f>
        <v>45792</v>
      </c>
    </row>
    <row r="129" spans="3:9" hidden="1" x14ac:dyDescent="0.3">
      <c r="C129" s="41">
        <v>45794</v>
      </c>
      <c r="D129" s="39" t="s">
        <v>9</v>
      </c>
      <c r="E129" s="39" t="s">
        <v>108</v>
      </c>
      <c r="F129" s="139">
        <f>9.58+4.95</f>
        <v>14.530000000000001</v>
      </c>
      <c r="G129" s="40" t="s">
        <v>148</v>
      </c>
      <c r="H129" s="43" cm="1">
        <f t="array" ref="H129">SUMPRODUCT(Tracking[Amount],--(Tracking[Date]&lt;=Tracking[[#This Row],[Date]]),(Tracking[Type]&lt;&gt;"Income")*(-1)+(Tracking[Type]="Income"))</f>
        <v>108.10999999999984</v>
      </c>
      <c r="I129" s="51">
        <f>IF(AND(Tracking[[#This Row],[Type]]="Income",shift_late_income_status="Active",DAY(Tracking[[#This Row],[Date]])&gt;=shift_late_income_starting_day),DATE(YEAR(Tracking[[#This Row],[Date]]),MONTH(Tracking[[#This Row],[Date]])+1,1),Tracking[[#This Row],[Date]])</f>
        <v>45794</v>
      </c>
    </row>
    <row r="130" spans="3:9" hidden="1" x14ac:dyDescent="0.3">
      <c r="C130" s="41">
        <v>45795</v>
      </c>
      <c r="D130" s="39" t="s">
        <v>9</v>
      </c>
      <c r="E130" s="39" t="s">
        <v>10</v>
      </c>
      <c r="F130" s="139">
        <v>16</v>
      </c>
      <c r="G130" s="40" t="s">
        <v>149</v>
      </c>
      <c r="H130" s="43" cm="1">
        <f t="array" ref="H130">SUMPRODUCT(Tracking[Amount],--(Tracking[Date]&lt;=Tracking[[#This Row],[Date]]),(Tracking[Type]&lt;&gt;"Income")*(-1)+(Tracking[Type]="Income"))</f>
        <v>92.109999999999843</v>
      </c>
      <c r="I130" s="51">
        <f>IF(AND(Tracking[[#This Row],[Type]]="Income",shift_late_income_status="Active",DAY(Tracking[[#This Row],[Date]])&gt;=shift_late_income_starting_day),DATE(YEAR(Tracking[[#This Row],[Date]]),MONTH(Tracking[[#This Row],[Date]])+1,1),Tracking[[#This Row],[Date]])</f>
        <v>45795</v>
      </c>
    </row>
    <row r="131" spans="3:9" hidden="1" x14ac:dyDescent="0.3">
      <c r="C131" s="41">
        <v>45798</v>
      </c>
      <c r="D131" s="39" t="s">
        <v>9</v>
      </c>
      <c r="E131" s="39" t="s">
        <v>11</v>
      </c>
      <c r="F131" s="139">
        <v>21.7</v>
      </c>
      <c r="G131" s="40"/>
      <c r="H131" s="43" cm="1">
        <f t="array" ref="H131">SUMPRODUCT(Tracking[Amount],--(Tracking[Date]&lt;=Tracking[[#This Row],[Date]]),(Tracking[Type]&lt;&gt;"Income")*(-1)+(Tracking[Type]="Income"))</f>
        <v>70.40999999999984</v>
      </c>
      <c r="I131" s="51">
        <f>IF(AND(Tracking[[#This Row],[Type]]="Income",shift_late_income_status="Active",DAY(Tracking[[#This Row],[Date]])&gt;=shift_late_income_starting_day),DATE(YEAR(Tracking[[#This Row],[Date]]),MONTH(Tracking[[#This Row],[Date]])+1,1),Tracking[[#This Row],[Date]])</f>
        <v>45798</v>
      </c>
    </row>
    <row r="132" spans="3:9" hidden="1" x14ac:dyDescent="0.3">
      <c r="C132" s="41">
        <v>45799</v>
      </c>
      <c r="D132" s="39" t="s">
        <v>9</v>
      </c>
      <c r="E132" s="39" t="s">
        <v>10</v>
      </c>
      <c r="F132" s="139">
        <v>36.76</v>
      </c>
      <c r="G132" s="40"/>
      <c r="H132" s="43" cm="1">
        <f t="array" ref="H132">SUMPRODUCT(Tracking[Amount],--(Tracking[Date]&lt;=Tracking[[#This Row],[Date]]),(Tracking[Type]&lt;&gt;"Income")*(-1)+(Tracking[Type]="Income"))</f>
        <v>33.649999999999842</v>
      </c>
      <c r="I132" s="51">
        <f>IF(AND(Tracking[[#This Row],[Type]]="Income",shift_late_income_status="Active",DAY(Tracking[[#This Row],[Date]])&gt;=shift_late_income_starting_day),DATE(YEAR(Tracking[[#This Row],[Date]]),MONTH(Tracking[[#This Row],[Date]])+1,1),Tracking[[#This Row],[Date]])</f>
        <v>45799</v>
      </c>
    </row>
    <row r="133" spans="3:9" hidden="1" x14ac:dyDescent="0.3">
      <c r="C133" s="41">
        <v>45800</v>
      </c>
      <c r="D133" s="39" t="s">
        <v>5</v>
      </c>
      <c r="E133" s="39" t="s">
        <v>103</v>
      </c>
      <c r="F133" s="139">
        <v>146.37</v>
      </c>
      <c r="G133" s="40"/>
      <c r="H133" s="43" cm="1">
        <f t="array" ref="H133">SUMPRODUCT(Tracking[Amount],--(Tracking[Date]&lt;=Tracking[[#This Row],[Date]]),(Tracking[Type]&lt;&gt;"Income")*(-1)+(Tracking[Type]="Income"))</f>
        <v>180.01999999999984</v>
      </c>
      <c r="I133" s="51">
        <f>IF(AND(Tracking[[#This Row],[Type]]="Income",shift_late_income_status="Active",DAY(Tracking[[#This Row],[Date]])&gt;=shift_late_income_starting_day),DATE(YEAR(Tracking[[#This Row],[Date]]),MONTH(Tracking[[#This Row],[Date]])+1,1),Tracking[[#This Row],[Date]])</f>
        <v>45800</v>
      </c>
    </row>
    <row r="134" spans="3:9" hidden="1" x14ac:dyDescent="0.3">
      <c r="C134" s="41">
        <v>45801</v>
      </c>
      <c r="D134" s="39" t="s">
        <v>9</v>
      </c>
      <c r="E134" s="39" t="s">
        <v>111</v>
      </c>
      <c r="F134" s="139">
        <v>25</v>
      </c>
      <c r="G134" s="40" t="s">
        <v>151</v>
      </c>
      <c r="H134" s="43" cm="1">
        <f t="array" ref="H134">SUMPRODUCT(Tracking[Amount],--(Tracking[Date]&lt;=Tracking[[#This Row],[Date]]),(Tracking[Type]&lt;&gt;"Income")*(-1)+(Tracking[Type]="Income"))</f>
        <v>155.01999999999984</v>
      </c>
      <c r="I134" s="51">
        <f>IF(AND(Tracking[[#This Row],[Type]]="Income",shift_late_income_status="Active",DAY(Tracking[[#This Row],[Date]])&gt;=shift_late_income_starting_day),DATE(YEAR(Tracking[[#This Row],[Date]]),MONTH(Tracking[[#This Row],[Date]])+1,1),Tracking[[#This Row],[Date]])</f>
        <v>45801</v>
      </c>
    </row>
    <row r="135" spans="3:9" hidden="1" x14ac:dyDescent="0.3">
      <c r="C135" s="41">
        <v>45804</v>
      </c>
      <c r="D135" s="39" t="s">
        <v>5</v>
      </c>
      <c r="E135" s="39" t="s">
        <v>106</v>
      </c>
      <c r="F135" s="139">
        <v>200</v>
      </c>
      <c r="G135" s="40"/>
      <c r="H135" s="43" cm="1">
        <f t="array" ref="H135">SUMPRODUCT(Tracking[Amount],--(Tracking[Date]&lt;=Tracking[[#This Row],[Date]]),(Tracking[Type]&lt;&gt;"Income")*(-1)+(Tracking[Type]="Income"))</f>
        <v>122.54999999999987</v>
      </c>
      <c r="I135" s="51">
        <f>IF(AND(Tracking[[#This Row],[Type]]="Income",shift_late_income_status="Active",DAY(Tracking[[#This Row],[Date]])&gt;=shift_late_income_starting_day),DATE(YEAR(Tracking[[#This Row],[Date]]),MONTH(Tracking[[#This Row],[Date]])+1,1),Tracking[[#This Row],[Date]])</f>
        <v>45809</v>
      </c>
    </row>
    <row r="136" spans="3:9" hidden="1" x14ac:dyDescent="0.3">
      <c r="C136" s="41">
        <v>45804</v>
      </c>
      <c r="D136" s="39" t="s">
        <v>9</v>
      </c>
      <c r="E136" s="39" t="s">
        <v>11</v>
      </c>
      <c r="F136" s="139">
        <v>10.8</v>
      </c>
      <c r="G136" s="40"/>
      <c r="H136" s="43" cm="1">
        <f t="array" ref="H136">SUMPRODUCT(Tracking[Amount],--(Tracking[Date]&lt;=Tracking[[#This Row],[Date]]),(Tracking[Type]&lt;&gt;"Income")*(-1)+(Tracking[Type]="Income"))</f>
        <v>122.54999999999987</v>
      </c>
      <c r="I136" s="51">
        <f>IF(AND(Tracking[[#This Row],[Type]]="Income",shift_late_income_status="Active",DAY(Tracking[[#This Row],[Date]])&gt;=shift_late_income_starting_day),DATE(YEAR(Tracking[[#This Row],[Date]]),MONTH(Tracking[[#This Row],[Date]])+1,1),Tracking[[#This Row],[Date]])</f>
        <v>45804</v>
      </c>
    </row>
    <row r="137" spans="3:9" hidden="1" x14ac:dyDescent="0.3">
      <c r="C137" s="41">
        <v>45804</v>
      </c>
      <c r="D137" s="39" t="s">
        <v>9</v>
      </c>
      <c r="E137" s="39" t="s">
        <v>111</v>
      </c>
      <c r="F137" s="139">
        <v>13</v>
      </c>
      <c r="G137" s="40" t="s">
        <v>152</v>
      </c>
      <c r="H137" s="43" cm="1">
        <f t="array" ref="H137">SUMPRODUCT(Tracking[Amount],--(Tracking[Date]&lt;=Tracking[[#This Row],[Date]]),(Tracking[Type]&lt;&gt;"Income")*(-1)+(Tracking[Type]="Income"))</f>
        <v>122.54999999999987</v>
      </c>
      <c r="I137" s="51">
        <f>IF(AND(Tracking[[#This Row],[Type]]="Income",shift_late_income_status="Active",DAY(Tracking[[#This Row],[Date]])&gt;=shift_late_income_starting_day),DATE(YEAR(Tracking[[#This Row],[Date]]),MONTH(Tracking[[#This Row],[Date]])+1,1),Tracking[[#This Row],[Date]])</f>
        <v>45804</v>
      </c>
    </row>
    <row r="138" spans="3:9" hidden="1" x14ac:dyDescent="0.3">
      <c r="C138" s="41">
        <v>45804</v>
      </c>
      <c r="D138" s="39" t="s">
        <v>9</v>
      </c>
      <c r="E138" s="39" t="s">
        <v>108</v>
      </c>
      <c r="F138" s="139">
        <v>173.14</v>
      </c>
      <c r="G138" s="40" t="s">
        <v>153</v>
      </c>
      <c r="H138" s="43" cm="1">
        <f t="array" ref="H138">SUMPRODUCT(Tracking[Amount],--(Tracking[Date]&lt;=Tracking[[#This Row],[Date]]),(Tracking[Type]&lt;&gt;"Income")*(-1)+(Tracking[Type]="Income"))</f>
        <v>122.54999999999987</v>
      </c>
      <c r="I138" s="51">
        <f>IF(AND(Tracking[[#This Row],[Type]]="Income",shift_late_income_status="Active",DAY(Tracking[[#This Row],[Date]])&gt;=shift_late_income_starting_day),DATE(YEAR(Tracking[[#This Row],[Date]]),MONTH(Tracking[[#This Row],[Date]])+1,1),Tracking[[#This Row],[Date]])</f>
        <v>45804</v>
      </c>
    </row>
    <row r="139" spans="3:9" hidden="1" x14ac:dyDescent="0.3">
      <c r="C139" s="41">
        <v>45804</v>
      </c>
      <c r="D139" s="39" t="s">
        <v>9</v>
      </c>
      <c r="E139" s="39" t="s">
        <v>111</v>
      </c>
      <c r="F139" s="139">
        <v>3.24</v>
      </c>
      <c r="G139" s="40"/>
      <c r="H139" s="43" cm="1">
        <f t="array" ref="H139">SUMPRODUCT(Tracking[Amount],--(Tracking[Date]&lt;=Tracking[[#This Row],[Date]]),(Tracking[Type]&lt;&gt;"Income")*(-1)+(Tracking[Type]="Income"))</f>
        <v>122.54999999999987</v>
      </c>
      <c r="I139" s="51">
        <f>IF(AND(Tracking[[#This Row],[Type]]="Income",shift_late_income_status="Active",DAY(Tracking[[#This Row],[Date]])&gt;=shift_late_income_starting_day),DATE(YEAR(Tracking[[#This Row],[Date]]),MONTH(Tracking[[#This Row],[Date]])+1,1),Tracking[[#This Row],[Date]])</f>
        <v>45804</v>
      </c>
    </row>
    <row r="140" spans="3:9" hidden="1" x14ac:dyDescent="0.3">
      <c r="C140" s="41">
        <v>45804</v>
      </c>
      <c r="D140" s="39" t="s">
        <v>9</v>
      </c>
      <c r="E140" s="39" t="s">
        <v>10</v>
      </c>
      <c r="F140" s="139">
        <v>10.66</v>
      </c>
      <c r="G140" s="40"/>
      <c r="H140" s="43" cm="1">
        <f t="array" ref="H140">SUMPRODUCT(Tracking[Amount],--(Tracking[Date]&lt;=Tracking[[#This Row],[Date]]),(Tracking[Type]&lt;&gt;"Income")*(-1)+(Tracking[Type]="Income"))</f>
        <v>122.54999999999987</v>
      </c>
      <c r="I140" s="51">
        <f>IF(AND(Tracking[[#This Row],[Type]]="Income",shift_late_income_status="Active",DAY(Tracking[[#This Row],[Date]])&gt;=shift_late_income_starting_day),DATE(YEAR(Tracking[[#This Row],[Date]]),MONTH(Tracking[[#This Row],[Date]])+1,1),Tracking[[#This Row],[Date]])</f>
        <v>45804</v>
      </c>
    </row>
    <row r="141" spans="3:9" hidden="1" x14ac:dyDescent="0.3">
      <c r="C141" s="41">
        <v>45804</v>
      </c>
      <c r="D141" s="39" t="s">
        <v>9</v>
      </c>
      <c r="E141" s="39" t="s">
        <v>108</v>
      </c>
      <c r="F141" s="139">
        <v>21.63</v>
      </c>
      <c r="G141" s="40" t="s">
        <v>113</v>
      </c>
      <c r="H141" s="43" cm="1">
        <f t="array" ref="H141">SUMPRODUCT(Tracking[Amount],--(Tracking[Date]&lt;=Tracking[[#This Row],[Date]]),(Tracking[Type]&lt;&gt;"Income")*(-1)+(Tracking[Type]="Income"))</f>
        <v>122.54999999999987</v>
      </c>
      <c r="I141" s="51">
        <f>IF(AND(Tracking[[#This Row],[Type]]="Income",shift_late_income_status="Active",DAY(Tracking[[#This Row],[Date]])&gt;=shift_late_income_starting_day),DATE(YEAR(Tracking[[#This Row],[Date]]),MONTH(Tracking[[#This Row],[Date]])+1,1),Tracking[[#This Row],[Date]])</f>
        <v>45804</v>
      </c>
    </row>
    <row r="142" spans="3:9" hidden="1" x14ac:dyDescent="0.3">
      <c r="C142" s="41">
        <v>45805</v>
      </c>
      <c r="D142" s="39" t="s">
        <v>9</v>
      </c>
      <c r="E142" s="39" t="s">
        <v>108</v>
      </c>
      <c r="F142" s="139">
        <v>46.7</v>
      </c>
      <c r="G142" s="40" t="s">
        <v>154</v>
      </c>
      <c r="H142" s="43" cm="1">
        <f t="array" ref="H142">SUMPRODUCT(Tracking[Amount],--(Tracking[Date]&lt;=Tracking[[#This Row],[Date]]),(Tracking[Type]&lt;&gt;"Income")*(-1)+(Tracking[Type]="Income"))</f>
        <v>75.849999999999866</v>
      </c>
      <c r="I142" s="51">
        <f>IF(AND(Tracking[[#This Row],[Type]]="Income",shift_late_income_status="Active",DAY(Tracking[[#This Row],[Date]])&gt;=shift_late_income_starting_day),DATE(YEAR(Tracking[[#This Row],[Date]]),MONTH(Tracking[[#This Row],[Date]])+1,1),Tracking[[#This Row],[Date]])</f>
        <v>45805</v>
      </c>
    </row>
    <row r="143" spans="3:9" hidden="1" x14ac:dyDescent="0.3">
      <c r="C143" s="65">
        <v>45807</v>
      </c>
      <c r="D143" s="66" t="s">
        <v>9</v>
      </c>
      <c r="E143" s="66" t="s">
        <v>108</v>
      </c>
      <c r="F143" s="140">
        <v>76.959999999999994</v>
      </c>
      <c r="G143" s="40" t="s">
        <v>155</v>
      </c>
      <c r="H143" s="67" cm="1">
        <f t="array" ref="H143">SUMPRODUCT(Tracking[Amount],--(Tracking[Date]&lt;=Tracking[[#This Row],[Date]]),(Tracking[Type]&lt;&gt;"Income")*(-1)+(Tracking[Type]="Income"))</f>
        <v>-40.050000000000125</v>
      </c>
      <c r="I143" s="51">
        <f>IF(AND(Tracking[[#This Row],[Type]]="Income",shift_late_income_status="Active",DAY(Tracking[[#This Row],[Date]])&gt;=shift_late_income_starting_day),DATE(YEAR(Tracking[[#This Row],[Date]]),MONTH(Tracking[[#This Row],[Date]])+1,1),Tracking[[#This Row],[Date]])</f>
        <v>45807</v>
      </c>
    </row>
    <row r="144" spans="3:9" hidden="1" x14ac:dyDescent="0.3">
      <c r="C144" s="41">
        <v>45807</v>
      </c>
      <c r="D144" s="39" t="s">
        <v>9</v>
      </c>
      <c r="E144" s="39" t="s">
        <v>108</v>
      </c>
      <c r="F144" s="139">
        <v>38.94</v>
      </c>
      <c r="G144" s="40" t="s">
        <v>156</v>
      </c>
      <c r="H144" s="43" cm="1">
        <f t="array" ref="H144">SUMPRODUCT(Tracking[Amount],--(Tracking[Date]&lt;=Tracking[[#This Row],[Date]]),(Tracking[Type]&lt;&gt;"Income")*(-1)+(Tracking[Type]="Income"))</f>
        <v>-40.050000000000125</v>
      </c>
      <c r="I144" s="51">
        <f>IF(AND(Tracking[[#This Row],[Type]]="Income",shift_late_income_status="Active",DAY(Tracking[[#This Row],[Date]])&gt;=shift_late_income_starting_day),DATE(YEAR(Tracking[[#This Row],[Date]]),MONTH(Tracking[[#This Row],[Date]])+1,1),Tracking[[#This Row],[Date]])</f>
        <v>45807</v>
      </c>
    </row>
    <row r="145" spans="3:9" hidden="1" x14ac:dyDescent="0.3">
      <c r="C145" s="41">
        <v>45809</v>
      </c>
      <c r="D145" s="39" t="s">
        <v>9</v>
      </c>
      <c r="E145" s="39" t="s">
        <v>111</v>
      </c>
      <c r="F145" s="139">
        <v>3.99</v>
      </c>
      <c r="G145" s="40" t="s">
        <v>142</v>
      </c>
      <c r="H145" s="43" cm="1">
        <f t="array" ref="H145">SUMPRODUCT(Tracking[Amount],--(Tracking[Date]&lt;=Tracking[[#This Row],[Date]]),(Tracking[Type]&lt;&gt;"Income")*(-1)+(Tracking[Type]="Income"))</f>
        <v>-44.040000000000127</v>
      </c>
      <c r="I145" s="51">
        <f>IF(AND(Tracking[[#This Row],[Type]]="Income",shift_late_income_status="Active",DAY(Tracking[[#This Row],[Date]])&gt;=shift_late_income_starting_day),DATE(YEAR(Tracking[[#This Row],[Date]]),MONTH(Tracking[[#This Row],[Date]])+1,1),Tracking[[#This Row],[Date]])</f>
        <v>45809</v>
      </c>
    </row>
    <row r="146" spans="3:9" hidden="1" x14ac:dyDescent="0.3">
      <c r="C146" s="41">
        <v>45811</v>
      </c>
      <c r="D146" s="39" t="s">
        <v>5</v>
      </c>
      <c r="E146" s="39" t="s">
        <v>104</v>
      </c>
      <c r="F146" s="139">
        <v>56.26</v>
      </c>
      <c r="G146" s="40"/>
      <c r="H146" s="43" cm="1">
        <f t="array" ref="H146">SUMPRODUCT(Tracking[Amount],--(Tracking[Date]&lt;=Tracking[[#This Row],[Date]]),(Tracking[Type]&lt;&gt;"Income")*(-1)+(Tracking[Type]="Income"))</f>
        <v>-44.040000000000127</v>
      </c>
      <c r="I146" s="51">
        <f>IF(AND(Tracking[[#This Row],[Type]]="Income",shift_late_income_status="Active",DAY(Tracking[[#This Row],[Date]])&gt;=shift_late_income_starting_day),DATE(YEAR(Tracking[[#This Row],[Date]]),MONTH(Tracking[[#This Row],[Date]])+1,1),Tracking[[#This Row],[Date]])</f>
        <v>45811</v>
      </c>
    </row>
    <row r="147" spans="3:9" hidden="1" x14ac:dyDescent="0.3">
      <c r="C147" s="41">
        <v>45811</v>
      </c>
      <c r="D147" s="39" t="s">
        <v>14</v>
      </c>
      <c r="E147" s="39" t="s">
        <v>109</v>
      </c>
      <c r="F147" s="139">
        <v>56.26</v>
      </c>
      <c r="G147" s="40"/>
      <c r="H147" s="43" cm="1">
        <f t="array" ref="H147">SUMPRODUCT(Tracking[Amount],--(Tracking[Date]&lt;=Tracking[[#This Row],[Date]]),(Tracking[Type]&lt;&gt;"Income")*(-1)+(Tracking[Type]="Income"))</f>
        <v>-44.040000000000127</v>
      </c>
      <c r="I147" s="51">
        <f>IF(AND(Tracking[[#This Row],[Type]]="Income",shift_late_income_status="Active",DAY(Tracking[[#This Row],[Date]])&gt;=shift_late_income_starting_day),DATE(YEAR(Tracking[[#This Row],[Date]]),MONTH(Tracking[[#This Row],[Date]])+1,1),Tracking[[#This Row],[Date]])</f>
        <v>45811</v>
      </c>
    </row>
    <row r="148" spans="3:9" hidden="1" x14ac:dyDescent="0.3">
      <c r="C148" s="41">
        <v>45813</v>
      </c>
      <c r="D148" s="39" t="s">
        <v>9</v>
      </c>
      <c r="E148" s="39" t="s">
        <v>10</v>
      </c>
      <c r="F148" s="139">
        <v>11.57</v>
      </c>
      <c r="G148" s="40"/>
      <c r="H148" s="43" cm="1">
        <f t="array" ref="H148">SUMPRODUCT(Tracking[Amount],--(Tracking[Date]&lt;=Tracking[[#This Row],[Date]]),(Tracking[Type]&lt;&gt;"Income")*(-1)+(Tracking[Type]="Income"))</f>
        <v>-55.610000000000127</v>
      </c>
      <c r="I148" s="51">
        <f>IF(AND(Tracking[[#This Row],[Type]]="Income",shift_late_income_status="Active",DAY(Tracking[[#This Row],[Date]])&gt;=shift_late_income_starting_day),DATE(YEAR(Tracking[[#This Row],[Date]]),MONTH(Tracking[[#This Row],[Date]])+1,1),Tracking[[#This Row],[Date]])</f>
        <v>45813</v>
      </c>
    </row>
    <row r="149" spans="3:9" hidden="1" x14ac:dyDescent="0.3">
      <c r="C149" s="41">
        <v>45814</v>
      </c>
      <c r="D149" s="39" t="s">
        <v>9</v>
      </c>
      <c r="E149" s="39" t="s">
        <v>10</v>
      </c>
      <c r="F149" s="139">
        <v>5</v>
      </c>
      <c r="G149" s="40"/>
      <c r="H149" s="43" cm="1">
        <f t="array" ref="H149">SUMPRODUCT(Tracking[Amount],--(Tracking[Date]&lt;=Tracking[[#This Row],[Date]]),(Tracking[Type]&lt;&gt;"Income")*(-1)+(Tracking[Type]="Income"))</f>
        <v>172.57999999999987</v>
      </c>
      <c r="I149" s="51">
        <f>IF(AND(Tracking[[#This Row],[Type]]="Income",shift_late_income_status="Active",DAY(Tracking[[#This Row],[Date]])&gt;=shift_late_income_starting_day),DATE(YEAR(Tracking[[#This Row],[Date]]),MONTH(Tracking[[#This Row],[Date]])+1,1),Tracking[[#This Row],[Date]])</f>
        <v>45814</v>
      </c>
    </row>
    <row r="150" spans="3:9" hidden="1" x14ac:dyDescent="0.3">
      <c r="C150" s="41">
        <v>45814</v>
      </c>
      <c r="D150" s="39" t="s">
        <v>5</v>
      </c>
      <c r="E150" s="39" t="s">
        <v>103</v>
      </c>
      <c r="F150" s="139">
        <v>233.19</v>
      </c>
      <c r="G150" s="40"/>
      <c r="H150" s="43" cm="1">
        <f t="array" ref="H150">SUMPRODUCT(Tracking[Amount],--(Tracking[Date]&lt;=Tracking[[#This Row],[Date]]),(Tracking[Type]&lt;&gt;"Income")*(-1)+(Tracking[Type]="Income"))</f>
        <v>172.57999999999987</v>
      </c>
      <c r="I150" s="51">
        <f>IF(AND(Tracking[[#This Row],[Type]]="Income",shift_late_income_status="Active",DAY(Tracking[[#This Row],[Date]])&gt;=shift_late_income_starting_day),DATE(YEAR(Tracking[[#This Row],[Date]]),MONTH(Tracking[[#This Row],[Date]])+1,1),Tracking[[#This Row],[Date]])</f>
        <v>45814</v>
      </c>
    </row>
    <row r="151" spans="3:9" hidden="1" x14ac:dyDescent="0.3">
      <c r="C151" s="41">
        <v>45817</v>
      </c>
      <c r="D151" s="39" t="s">
        <v>9</v>
      </c>
      <c r="E151" s="39" t="s">
        <v>10</v>
      </c>
      <c r="F151" s="139">
        <v>17.190000000000001</v>
      </c>
      <c r="G151" s="40"/>
      <c r="H151" s="43" cm="1">
        <f t="array" ref="H151">SUMPRODUCT(Tracking[Amount],--(Tracking[Date]&lt;=Tracking[[#This Row],[Date]]),(Tracking[Type]&lt;&gt;"Income")*(-1)+(Tracking[Type]="Income"))</f>
        <v>-82.180000000000121</v>
      </c>
      <c r="I151" s="51">
        <f>IF(AND(Tracking[[#This Row],[Type]]="Income",shift_late_income_status="Active",DAY(Tracking[[#This Row],[Date]])&gt;=shift_late_income_starting_day),DATE(YEAR(Tracking[[#This Row],[Date]]),MONTH(Tracking[[#This Row],[Date]])+1,1),Tracking[[#This Row],[Date]])</f>
        <v>45817</v>
      </c>
    </row>
    <row r="152" spans="3:9" hidden="1" x14ac:dyDescent="0.3">
      <c r="C152" s="41">
        <v>45817</v>
      </c>
      <c r="D152" s="39" t="s">
        <v>9</v>
      </c>
      <c r="E152" s="39" t="s">
        <v>10</v>
      </c>
      <c r="F152" s="139">
        <v>39.979999999999997</v>
      </c>
      <c r="G152" s="40"/>
      <c r="H152" s="43" cm="1">
        <f t="array" ref="H152">SUMPRODUCT(Tracking[Amount],--(Tracking[Date]&lt;=Tracking[[#This Row],[Date]]),(Tracking[Type]&lt;&gt;"Income")*(-1)+(Tracking[Type]="Income"))</f>
        <v>-82.180000000000121</v>
      </c>
      <c r="I152" s="51">
        <f>IF(AND(Tracking[[#This Row],[Type]]="Income",shift_late_income_status="Active",DAY(Tracking[[#This Row],[Date]])&gt;=shift_late_income_starting_day),DATE(YEAR(Tracking[[#This Row],[Date]]),MONTH(Tracking[[#This Row],[Date]])+1,1),Tracking[[#This Row],[Date]])</f>
        <v>45817</v>
      </c>
    </row>
    <row r="153" spans="3:9" hidden="1" x14ac:dyDescent="0.3">
      <c r="C153" s="41">
        <v>45817</v>
      </c>
      <c r="D153" s="39" t="s">
        <v>9</v>
      </c>
      <c r="E153" s="39" t="s">
        <v>111</v>
      </c>
      <c r="F153" s="139">
        <v>60.6</v>
      </c>
      <c r="G153" s="40" t="s">
        <v>158</v>
      </c>
      <c r="H153" s="43" cm="1">
        <f t="array" ref="H153">SUMPRODUCT(Tracking[Amount],--(Tracking[Date]&lt;=Tracking[[#This Row],[Date]]),(Tracking[Type]&lt;&gt;"Income")*(-1)+(Tracking[Type]="Income"))</f>
        <v>-82.180000000000121</v>
      </c>
      <c r="I153" s="51">
        <f>IF(AND(Tracking[[#This Row],[Type]]="Income",shift_late_income_status="Active",DAY(Tracking[[#This Row],[Date]])&gt;=shift_late_income_starting_day),DATE(YEAR(Tracking[[#This Row],[Date]]),MONTH(Tracking[[#This Row],[Date]])+1,1),Tracking[[#This Row],[Date]])</f>
        <v>45817</v>
      </c>
    </row>
    <row r="154" spans="3:9" hidden="1" x14ac:dyDescent="0.3">
      <c r="C154" s="41">
        <v>45817</v>
      </c>
      <c r="D154" s="39" t="s">
        <v>9</v>
      </c>
      <c r="E154" s="39" t="s">
        <v>111</v>
      </c>
      <c r="F154" s="139">
        <v>122.9</v>
      </c>
      <c r="G154" s="40" t="s">
        <v>159</v>
      </c>
      <c r="H154" s="43" cm="1">
        <f t="array" ref="H154">SUMPRODUCT(Tracking[Amount],--(Tracking[Date]&lt;=Tracking[[#This Row],[Date]]),(Tracking[Type]&lt;&gt;"Income")*(-1)+(Tracking[Type]="Income"))</f>
        <v>-82.180000000000121</v>
      </c>
      <c r="I154" s="51">
        <f>IF(AND(Tracking[[#This Row],[Type]]="Income",shift_late_income_status="Active",DAY(Tracking[[#This Row],[Date]])&gt;=shift_late_income_starting_day),DATE(YEAR(Tracking[[#This Row],[Date]]),MONTH(Tracking[[#This Row],[Date]])+1,1),Tracking[[#This Row],[Date]])</f>
        <v>45817</v>
      </c>
    </row>
    <row r="155" spans="3:9" hidden="1" x14ac:dyDescent="0.3">
      <c r="C155" s="41">
        <v>45817</v>
      </c>
      <c r="D155" s="39" t="s">
        <v>9</v>
      </c>
      <c r="E155" s="39" t="s">
        <v>10</v>
      </c>
      <c r="F155" s="139">
        <v>4.09</v>
      </c>
      <c r="G155" s="40"/>
      <c r="H155" s="43" cm="1">
        <f t="array" ref="H155">SUMPRODUCT(Tracking[Amount],--(Tracking[Date]&lt;=Tracking[[#This Row],[Date]]),(Tracking[Type]&lt;&gt;"Income")*(-1)+(Tracking[Type]="Income"))</f>
        <v>-82.180000000000121</v>
      </c>
      <c r="I155" s="51">
        <f>IF(AND(Tracking[[#This Row],[Type]]="Income",shift_late_income_status="Active",DAY(Tracking[[#This Row],[Date]])&gt;=shift_late_income_starting_day),DATE(YEAR(Tracking[[#This Row],[Date]]),MONTH(Tracking[[#This Row],[Date]])+1,1),Tracking[[#This Row],[Date]])</f>
        <v>45817</v>
      </c>
    </row>
    <row r="156" spans="3:9" hidden="1" x14ac:dyDescent="0.3">
      <c r="C156" s="41">
        <v>45817</v>
      </c>
      <c r="D156" s="39" t="s">
        <v>9</v>
      </c>
      <c r="E156" s="39" t="s">
        <v>10</v>
      </c>
      <c r="F156" s="139">
        <v>10</v>
      </c>
      <c r="G156" s="40"/>
      <c r="H156" s="43" cm="1">
        <f t="array" ref="H156">SUMPRODUCT(Tracking[Amount],--(Tracking[Date]&lt;=Tracking[[#This Row],[Date]]),(Tracking[Type]&lt;&gt;"Income")*(-1)+(Tracking[Type]="Income"))</f>
        <v>-82.180000000000121</v>
      </c>
      <c r="I156" s="51">
        <f>IF(AND(Tracking[[#This Row],[Type]]="Income",shift_late_income_status="Active",DAY(Tracking[[#This Row],[Date]])&gt;=shift_late_income_starting_day),DATE(YEAR(Tracking[[#This Row],[Date]]),MONTH(Tracking[[#This Row],[Date]])+1,1),Tracking[[#This Row],[Date]])</f>
        <v>45817</v>
      </c>
    </row>
    <row r="157" spans="3:9" hidden="1" x14ac:dyDescent="0.3">
      <c r="C157" s="41">
        <v>45819</v>
      </c>
      <c r="D157" s="39" t="s">
        <v>9</v>
      </c>
      <c r="E157" s="39" t="s">
        <v>10</v>
      </c>
      <c r="F157" s="139">
        <v>8.11</v>
      </c>
      <c r="G157" s="40"/>
      <c r="H157" s="43" cm="1">
        <f t="array" ref="H157">SUMPRODUCT(Tracking[Amount],--(Tracking[Date]&lt;=Tracking[[#This Row],[Date]]),(Tracking[Type]&lt;&gt;"Income")*(-1)+(Tracking[Type]="Income"))</f>
        <v>-90.29000000000012</v>
      </c>
      <c r="I157" s="51">
        <f>IF(AND(Tracking[[#This Row],[Type]]="Income",shift_late_income_status="Active",DAY(Tracking[[#This Row],[Date]])&gt;=shift_late_income_starting_day),DATE(YEAR(Tracking[[#This Row],[Date]]),MONTH(Tracking[[#This Row],[Date]])+1,1),Tracking[[#This Row],[Date]])</f>
        <v>45819</v>
      </c>
    </row>
    <row r="158" spans="3:9" hidden="1" x14ac:dyDescent="0.3">
      <c r="C158" s="41">
        <v>45820</v>
      </c>
      <c r="D158" s="39" t="s">
        <v>9</v>
      </c>
      <c r="E158" s="39" t="s">
        <v>111</v>
      </c>
      <c r="F158" s="139">
        <v>15.7</v>
      </c>
      <c r="G158" s="40" t="s">
        <v>160</v>
      </c>
      <c r="H158" s="43" cm="1">
        <f t="array" ref="H158">SUMPRODUCT(Tracking[Amount],--(Tracking[Date]&lt;=Tracking[[#This Row],[Date]]),(Tracking[Type]&lt;&gt;"Income")*(-1)+(Tracking[Type]="Income"))</f>
        <v>-105.99000000000012</v>
      </c>
      <c r="I158" s="51">
        <f>IF(AND(Tracking[[#This Row],[Type]]="Income",shift_late_income_status="Active",DAY(Tracking[[#This Row],[Date]])&gt;=shift_late_income_starting_day),DATE(YEAR(Tracking[[#This Row],[Date]]),MONTH(Tracking[[#This Row],[Date]])+1,1),Tracking[[#This Row],[Date]])</f>
        <v>45820</v>
      </c>
    </row>
    <row r="159" spans="3:9" hidden="1" x14ac:dyDescent="0.3">
      <c r="C159" s="41">
        <v>45821</v>
      </c>
      <c r="D159" s="39" t="s">
        <v>9</v>
      </c>
      <c r="E159" s="39" t="s">
        <v>10</v>
      </c>
      <c r="F159" s="139">
        <v>9.74</v>
      </c>
      <c r="G159" s="40"/>
      <c r="H159" s="43" cm="1">
        <f t="array" ref="H159">SUMPRODUCT(Tracking[Amount],--(Tracking[Date]&lt;=Tracking[[#This Row],[Date]]),(Tracking[Type]&lt;&gt;"Income")*(-1)+(Tracking[Type]="Income"))</f>
        <v>-115.73000000000012</v>
      </c>
      <c r="I159" s="51">
        <f>IF(AND(Tracking[[#This Row],[Type]]="Income",shift_late_income_status="Active",DAY(Tracking[[#This Row],[Date]])&gt;=shift_late_income_starting_day),DATE(YEAR(Tracking[[#This Row],[Date]]),MONTH(Tracking[[#This Row],[Date]])+1,1),Tracking[[#This Row],[Date]])</f>
        <v>45821</v>
      </c>
    </row>
    <row r="160" spans="3:9" hidden="1" x14ac:dyDescent="0.3">
      <c r="C160" s="41">
        <v>45823</v>
      </c>
      <c r="D160" s="39" t="s">
        <v>5</v>
      </c>
      <c r="E160" s="39" t="s">
        <v>104</v>
      </c>
      <c r="F160" s="139">
        <v>11.56</v>
      </c>
      <c r="G160" s="40"/>
      <c r="H160" s="43" cm="1">
        <f t="array" ref="H160">SUMPRODUCT(Tracking[Amount],--(Tracking[Date]&lt;=Tracking[[#This Row],[Date]]),(Tracking[Type]&lt;&gt;"Income")*(-1)+(Tracking[Type]="Income"))</f>
        <v>-115.73000000000012</v>
      </c>
      <c r="I160" s="51">
        <f>IF(AND(Tracking[[#This Row],[Type]]="Income",shift_late_income_status="Active",DAY(Tracking[[#This Row],[Date]])&gt;=shift_late_income_starting_day),DATE(YEAR(Tracking[[#This Row],[Date]]),MONTH(Tracking[[#This Row],[Date]])+1,1),Tracking[[#This Row],[Date]])</f>
        <v>45823</v>
      </c>
    </row>
    <row r="161" spans="3:9" hidden="1" x14ac:dyDescent="0.3">
      <c r="C161" s="41">
        <v>45823</v>
      </c>
      <c r="D161" s="39" t="s">
        <v>14</v>
      </c>
      <c r="E161" s="39" t="s">
        <v>110</v>
      </c>
      <c r="F161" s="139">
        <v>11.56</v>
      </c>
      <c r="G161" s="40"/>
      <c r="H161" s="43" cm="1">
        <f t="array" ref="H161">SUMPRODUCT(Tracking[Amount],--(Tracking[Date]&lt;=Tracking[[#This Row],[Date]]),(Tracking[Type]&lt;&gt;"Income")*(-1)+(Tracking[Type]="Income"))</f>
        <v>-115.73000000000012</v>
      </c>
      <c r="I161" s="51">
        <f>IF(AND(Tracking[[#This Row],[Type]]="Income",shift_late_income_status="Active",DAY(Tracking[[#This Row],[Date]])&gt;=shift_late_income_starting_day),DATE(YEAR(Tracking[[#This Row],[Date]]),MONTH(Tracking[[#This Row],[Date]])+1,1),Tracking[[#This Row],[Date]])</f>
        <v>45823</v>
      </c>
    </row>
    <row r="162" spans="3:9" hidden="1" x14ac:dyDescent="0.3">
      <c r="C162" s="41">
        <v>45828</v>
      </c>
      <c r="D162" s="39" t="s">
        <v>5</v>
      </c>
      <c r="E162" s="39" t="s">
        <v>103</v>
      </c>
      <c r="F162" s="139">
        <v>214.9</v>
      </c>
      <c r="G162" s="40"/>
      <c r="H162" s="43" cm="1">
        <f t="array" ref="H162">SUMPRODUCT(Tracking[Amount],--(Tracking[Date]&lt;=Tracking[[#This Row],[Date]]),(Tracking[Type]&lt;&gt;"Income")*(-1)+(Tracking[Type]="Income"))</f>
        <v>69.819999999999879</v>
      </c>
      <c r="I162" s="51">
        <f>IF(AND(Tracking[[#This Row],[Type]]="Income",shift_late_income_status="Active",DAY(Tracking[[#This Row],[Date]])&gt;=shift_late_income_starting_day),DATE(YEAR(Tracking[[#This Row],[Date]]),MONTH(Tracking[[#This Row],[Date]])+1,1),Tracking[[#This Row],[Date]])</f>
        <v>45828</v>
      </c>
    </row>
    <row r="163" spans="3:9" hidden="1" x14ac:dyDescent="0.3">
      <c r="C163" s="41">
        <v>45828</v>
      </c>
      <c r="D163" s="39" t="s">
        <v>9</v>
      </c>
      <c r="E163" s="39" t="s">
        <v>10</v>
      </c>
      <c r="F163" s="139">
        <f>8.64+16.12</f>
        <v>24.76</v>
      </c>
      <c r="G163" s="40" t="s">
        <v>162</v>
      </c>
      <c r="H163" s="43" cm="1">
        <f t="array" ref="H163">SUMPRODUCT(Tracking[Amount],--(Tracking[Date]&lt;=Tracking[[#This Row],[Date]]),(Tracking[Type]&lt;&gt;"Income")*(-1)+(Tracking[Type]="Income"))</f>
        <v>69.819999999999879</v>
      </c>
      <c r="I163" s="51">
        <f>IF(AND(Tracking[[#This Row],[Type]]="Income",shift_late_income_status="Active",DAY(Tracking[[#This Row],[Date]])&gt;=shift_late_income_starting_day),DATE(YEAR(Tracking[[#This Row],[Date]]),MONTH(Tracking[[#This Row],[Date]])+1,1),Tracking[[#This Row],[Date]])</f>
        <v>45828</v>
      </c>
    </row>
    <row r="164" spans="3:9" hidden="1" x14ac:dyDescent="0.3">
      <c r="C164" s="41">
        <v>45828</v>
      </c>
      <c r="D164" s="39" t="s">
        <v>9</v>
      </c>
      <c r="E164" s="39" t="s">
        <v>10</v>
      </c>
      <c r="F164" s="139">
        <v>4.59</v>
      </c>
      <c r="G164" s="40" t="s">
        <v>161</v>
      </c>
      <c r="H164" s="43" cm="1">
        <f t="array" ref="H164">SUMPRODUCT(Tracking[Amount],--(Tracking[Date]&lt;=Tracking[[#This Row],[Date]]),(Tracking[Type]&lt;&gt;"Income")*(-1)+(Tracking[Type]="Income"))</f>
        <v>69.819999999999879</v>
      </c>
      <c r="I164" s="51">
        <f>IF(AND(Tracking[[#This Row],[Type]]="Income",shift_late_income_status="Active",DAY(Tracking[[#This Row],[Date]])&gt;=shift_late_income_starting_day),DATE(YEAR(Tracking[[#This Row],[Date]]),MONTH(Tracking[[#This Row],[Date]])+1,1),Tracking[[#This Row],[Date]])</f>
        <v>45828</v>
      </c>
    </row>
    <row r="165" spans="3:9" hidden="1" x14ac:dyDescent="0.3">
      <c r="C165" s="41">
        <v>45829</v>
      </c>
      <c r="D165" s="39" t="s">
        <v>9</v>
      </c>
      <c r="E165" s="39" t="s">
        <v>10</v>
      </c>
      <c r="F165" s="139">
        <v>14.81</v>
      </c>
      <c r="G165" s="40" t="s">
        <v>149</v>
      </c>
      <c r="H165" s="43" cm="1">
        <f t="array" ref="H165">SUMPRODUCT(Tracking[Amount],--(Tracking[Date]&lt;=Tracking[[#This Row],[Date]]),(Tracking[Type]&lt;&gt;"Income")*(-1)+(Tracking[Type]="Income"))</f>
        <v>-30.000000000000117</v>
      </c>
      <c r="I165" s="51">
        <f>IF(AND(Tracking[[#This Row],[Type]]="Income",shift_late_income_status="Active",DAY(Tracking[[#This Row],[Date]])&gt;=shift_late_income_starting_day),DATE(YEAR(Tracking[[#This Row],[Date]]),MONTH(Tracking[[#This Row],[Date]])+1,1),Tracking[[#This Row],[Date]])</f>
        <v>45829</v>
      </c>
    </row>
    <row r="166" spans="3:9" hidden="1" x14ac:dyDescent="0.3">
      <c r="C166" s="41">
        <v>45829</v>
      </c>
      <c r="D166" s="39" t="s">
        <v>9</v>
      </c>
      <c r="E166" s="39" t="s">
        <v>108</v>
      </c>
      <c r="F166" s="139">
        <v>19.489999999999998</v>
      </c>
      <c r="G166" s="40" t="s">
        <v>163</v>
      </c>
      <c r="H166" s="43" cm="1">
        <f t="array" ref="H166">SUMPRODUCT(Tracking[Amount],--(Tracking[Date]&lt;=Tracking[[#This Row],[Date]]),(Tracking[Type]&lt;&gt;"Income")*(-1)+(Tracking[Type]="Income"))</f>
        <v>-30.000000000000117</v>
      </c>
      <c r="I166" s="51">
        <f>IF(AND(Tracking[[#This Row],[Type]]="Income",shift_late_income_status="Active",DAY(Tracking[[#This Row],[Date]])&gt;=shift_late_income_starting_day),DATE(YEAR(Tracking[[#This Row],[Date]]),MONTH(Tracking[[#This Row],[Date]])+1,1),Tracking[[#This Row],[Date]])</f>
        <v>45829</v>
      </c>
    </row>
    <row r="167" spans="3:9" hidden="1" x14ac:dyDescent="0.3">
      <c r="C167" s="41">
        <v>45829</v>
      </c>
      <c r="D167" s="39" t="s">
        <v>9</v>
      </c>
      <c r="E167" s="39" t="s">
        <v>108</v>
      </c>
      <c r="F167" s="139">
        <v>33.86</v>
      </c>
      <c r="G167" s="40" t="s">
        <v>164</v>
      </c>
      <c r="H167" s="43" cm="1">
        <f t="array" ref="H167">SUMPRODUCT(Tracking[Amount],--(Tracking[Date]&lt;=Tracking[[#This Row],[Date]]),(Tracking[Type]&lt;&gt;"Income")*(-1)+(Tracking[Type]="Income"))</f>
        <v>-30.000000000000117</v>
      </c>
      <c r="I167" s="51">
        <f>IF(AND(Tracking[[#This Row],[Type]]="Income",shift_late_income_status="Active",DAY(Tracking[[#This Row],[Date]])&gt;=shift_late_income_starting_day),DATE(YEAR(Tracking[[#This Row],[Date]]),MONTH(Tracking[[#This Row],[Date]])+1,1),Tracking[[#This Row],[Date]])</f>
        <v>45829</v>
      </c>
    </row>
    <row r="168" spans="3:9" hidden="1" x14ac:dyDescent="0.3">
      <c r="C168" s="41">
        <v>45829</v>
      </c>
      <c r="D168" s="39" t="s">
        <v>9</v>
      </c>
      <c r="E168" s="39" t="s">
        <v>10</v>
      </c>
      <c r="F168" s="139">
        <v>31.66</v>
      </c>
      <c r="G168" s="40" t="s">
        <v>165</v>
      </c>
      <c r="H168" s="43" cm="1">
        <f t="array" ref="H168">SUMPRODUCT(Tracking[Amount],--(Tracking[Date]&lt;=Tracking[[#This Row],[Date]]),(Tracking[Type]&lt;&gt;"Income")*(-1)+(Tracking[Type]="Income"))</f>
        <v>-30.000000000000117</v>
      </c>
      <c r="I168" s="51">
        <f>IF(AND(Tracking[[#This Row],[Type]]="Income",shift_late_income_status="Active",DAY(Tracking[[#This Row],[Date]])&gt;=shift_late_income_starting_day),DATE(YEAR(Tracking[[#This Row],[Date]]),MONTH(Tracking[[#This Row],[Date]])+1,1),Tracking[[#This Row],[Date]])</f>
        <v>45829</v>
      </c>
    </row>
    <row r="169" spans="3:9" hidden="1" x14ac:dyDescent="0.3">
      <c r="C169" s="41">
        <v>45839</v>
      </c>
      <c r="D169" s="39" t="s">
        <v>9</v>
      </c>
      <c r="E169" s="39" t="s">
        <v>166</v>
      </c>
      <c r="F169" s="139">
        <f>37.89+17.32</f>
        <v>55.21</v>
      </c>
      <c r="G169" s="40" t="s">
        <v>167</v>
      </c>
      <c r="H169" s="43" cm="1">
        <f t="array" ref="H169">SUMPRODUCT(Tracking[Amount],--(Tracking[Date]&lt;=Tracking[[#This Row],[Date]]),(Tracking[Type]&lt;&gt;"Income")*(-1)+(Tracking[Type]="Income"))</f>
        <v>-129.74000000000012</v>
      </c>
      <c r="I169" s="51">
        <f>IF(AND(Tracking[[#This Row],[Type]]="Income",shift_late_income_status="Active",DAY(Tracking[[#This Row],[Date]])&gt;=shift_late_income_starting_day),DATE(YEAR(Tracking[[#This Row],[Date]]),MONTH(Tracking[[#This Row],[Date]])+1,1),Tracking[[#This Row],[Date]])</f>
        <v>45839</v>
      </c>
    </row>
    <row r="170" spans="3:9" hidden="1" x14ac:dyDescent="0.3">
      <c r="C170" s="41">
        <v>45839</v>
      </c>
      <c r="D170" s="39" t="s">
        <v>9</v>
      </c>
      <c r="E170" s="39" t="s">
        <v>166</v>
      </c>
      <c r="F170" s="139">
        <v>12.03</v>
      </c>
      <c r="G170" s="40" t="s">
        <v>168</v>
      </c>
      <c r="H170" s="43" cm="1">
        <f t="array" ref="H170">SUMPRODUCT(Tracking[Amount],--(Tracking[Date]&lt;=Tracking[[#This Row],[Date]]),(Tracking[Type]&lt;&gt;"Income")*(-1)+(Tracking[Type]="Income"))</f>
        <v>-129.74000000000012</v>
      </c>
      <c r="I170" s="51">
        <f>IF(AND(Tracking[[#This Row],[Type]]="Income",shift_late_income_status="Active",DAY(Tracking[[#This Row],[Date]])&gt;=shift_late_income_starting_day),DATE(YEAR(Tracking[[#This Row],[Date]]),MONTH(Tracking[[#This Row],[Date]])+1,1),Tracking[[#This Row],[Date]])</f>
        <v>45839</v>
      </c>
    </row>
    <row r="171" spans="3:9" hidden="1" x14ac:dyDescent="0.3">
      <c r="C171" s="41">
        <v>45839</v>
      </c>
      <c r="D171" s="39" t="s">
        <v>9</v>
      </c>
      <c r="E171" s="39" t="s">
        <v>111</v>
      </c>
      <c r="F171" s="139">
        <v>30</v>
      </c>
      <c r="G171" s="40" t="s">
        <v>169</v>
      </c>
      <c r="H171" s="43" cm="1">
        <f t="array" ref="H171">SUMPRODUCT(Tracking[Amount],--(Tracking[Date]&lt;=Tracking[[#This Row],[Date]]),(Tracking[Type]&lt;&gt;"Income")*(-1)+(Tracking[Type]="Income"))</f>
        <v>-129.74000000000012</v>
      </c>
      <c r="I171" s="51">
        <f>IF(AND(Tracking[[#This Row],[Type]]="Income",shift_late_income_status="Active",DAY(Tracking[[#This Row],[Date]])&gt;=shift_late_income_starting_day),DATE(YEAR(Tracking[[#This Row],[Date]]),MONTH(Tracking[[#This Row],[Date]])+1,1),Tracking[[#This Row],[Date]])</f>
        <v>45839</v>
      </c>
    </row>
    <row r="172" spans="3:9" hidden="1" x14ac:dyDescent="0.3">
      <c r="C172" s="41">
        <v>45839</v>
      </c>
      <c r="D172" s="39" t="s">
        <v>9</v>
      </c>
      <c r="E172" s="39" t="s">
        <v>111</v>
      </c>
      <c r="F172" s="139">
        <v>2.5</v>
      </c>
      <c r="G172" s="40" t="s">
        <v>170</v>
      </c>
      <c r="H172" s="43" cm="1">
        <f t="array" ref="H172">SUMPRODUCT(Tracking[Amount],--(Tracking[Date]&lt;=Tracking[[#This Row],[Date]]),(Tracking[Type]&lt;&gt;"Income")*(-1)+(Tracking[Type]="Income"))</f>
        <v>-129.74000000000012</v>
      </c>
      <c r="I172" s="51">
        <f>IF(AND(Tracking[[#This Row],[Type]]="Income",shift_late_income_status="Active",DAY(Tracking[[#This Row],[Date]])&gt;=shift_late_income_starting_day),DATE(YEAR(Tracking[[#This Row],[Date]]),MONTH(Tracking[[#This Row],[Date]])+1,1),Tracking[[#This Row],[Date]])</f>
        <v>45839</v>
      </c>
    </row>
    <row r="173" spans="3:9" hidden="1" x14ac:dyDescent="0.3">
      <c r="C173" s="41">
        <v>45840</v>
      </c>
      <c r="D173" s="39" t="s">
        <v>9</v>
      </c>
      <c r="E173" s="39" t="s">
        <v>10</v>
      </c>
      <c r="F173" s="139">
        <v>5.61</v>
      </c>
      <c r="G173" s="40" t="s">
        <v>145</v>
      </c>
      <c r="H173" s="43" cm="1">
        <f t="array" ref="H173">SUMPRODUCT(Tracking[Amount],--(Tracking[Date]&lt;=Tracking[[#This Row],[Date]]),(Tracking[Type]&lt;&gt;"Income")*(-1)+(Tracking[Type]="Income"))</f>
        <v>-154.51000000000016</v>
      </c>
      <c r="I173" s="51">
        <f>IF(AND(Tracking[[#This Row],[Type]]="Income",shift_late_income_status="Active",DAY(Tracking[[#This Row],[Date]])&gt;=shift_late_income_starting_day),DATE(YEAR(Tracking[[#This Row],[Date]]),MONTH(Tracking[[#This Row],[Date]])+1,1),Tracking[[#This Row],[Date]])</f>
        <v>45840</v>
      </c>
    </row>
    <row r="174" spans="3:9" hidden="1" x14ac:dyDescent="0.3">
      <c r="C174" s="41">
        <v>45840</v>
      </c>
      <c r="D174" s="39" t="s">
        <v>9</v>
      </c>
      <c r="E174" s="39" t="s">
        <v>10</v>
      </c>
      <c r="F174" s="139">
        <v>14.83</v>
      </c>
      <c r="G174" s="40" t="s">
        <v>171</v>
      </c>
      <c r="H174" s="43" cm="1">
        <f t="array" ref="H174">SUMPRODUCT(Tracking[Amount],--(Tracking[Date]&lt;=Tracking[[#This Row],[Date]]),(Tracking[Type]&lt;&gt;"Income")*(-1)+(Tracking[Type]="Income"))</f>
        <v>-154.51000000000016</v>
      </c>
      <c r="I174" s="51">
        <f>IF(AND(Tracking[[#This Row],[Type]]="Income",shift_late_income_status="Active",DAY(Tracking[[#This Row],[Date]])&gt;=shift_late_income_starting_day),DATE(YEAR(Tracking[[#This Row],[Date]]),MONTH(Tracking[[#This Row],[Date]])+1,1),Tracking[[#This Row],[Date]])</f>
        <v>45840</v>
      </c>
    </row>
    <row r="175" spans="3:9" hidden="1" x14ac:dyDescent="0.3">
      <c r="C175" s="41">
        <v>45840</v>
      </c>
      <c r="D175" s="39" t="s">
        <v>9</v>
      </c>
      <c r="E175" s="39" t="s">
        <v>10</v>
      </c>
      <c r="F175" s="139">
        <v>4.33</v>
      </c>
      <c r="G175" s="40" t="s">
        <v>172</v>
      </c>
      <c r="H175" s="43" cm="1">
        <f t="array" ref="H175">SUMPRODUCT(Tracking[Amount],--(Tracking[Date]&lt;=Tracking[[#This Row],[Date]]),(Tracking[Type]&lt;&gt;"Income")*(-1)+(Tracking[Type]="Income"))</f>
        <v>-154.51000000000016</v>
      </c>
      <c r="I175" s="51">
        <f>IF(AND(Tracking[[#This Row],[Type]]="Income",shift_late_income_status="Active",DAY(Tracking[[#This Row],[Date]])&gt;=shift_late_income_starting_day),DATE(YEAR(Tracking[[#This Row],[Date]]),MONTH(Tracking[[#This Row],[Date]])+1,1),Tracking[[#This Row],[Date]])</f>
        <v>45840</v>
      </c>
    </row>
    <row r="176" spans="3:9" hidden="1" x14ac:dyDescent="0.3">
      <c r="C176" s="41">
        <v>45841</v>
      </c>
      <c r="D176" s="39" t="s">
        <v>9</v>
      </c>
      <c r="E176" s="39" t="s">
        <v>10</v>
      </c>
      <c r="F176" s="139">
        <v>11.9</v>
      </c>
      <c r="G176" s="40" t="s">
        <v>173</v>
      </c>
      <c r="H176" s="43" cm="1">
        <f t="array" ref="H176">SUMPRODUCT(Tracking[Amount],--(Tracking[Date]&lt;=Tracking[[#This Row],[Date]]),(Tracking[Type]&lt;&gt;"Income")*(-1)+(Tracking[Type]="Income"))</f>
        <v>207.69999999999985</v>
      </c>
      <c r="I176" s="51">
        <f>IF(AND(Tracking[[#This Row],[Type]]="Income",shift_late_income_status="Active",DAY(Tracking[[#This Row],[Date]])&gt;=shift_late_income_starting_day),DATE(YEAR(Tracking[[#This Row],[Date]]),MONTH(Tracking[[#This Row],[Date]])+1,1),Tracking[[#This Row],[Date]])</f>
        <v>45841</v>
      </c>
    </row>
    <row r="177" spans="3:9" hidden="1" x14ac:dyDescent="0.3">
      <c r="C177" s="41">
        <v>45841</v>
      </c>
      <c r="D177" s="39" t="s">
        <v>5</v>
      </c>
      <c r="E177" s="39" t="s">
        <v>103</v>
      </c>
      <c r="F177" s="139">
        <v>374.11</v>
      </c>
      <c r="G177" s="40" t="s">
        <v>175</v>
      </c>
      <c r="H177" s="43" cm="1">
        <f t="array" ref="H177">SUMPRODUCT(Tracking[Amount],--(Tracking[Date]&lt;=Tracking[[#This Row],[Date]]),(Tracking[Type]&lt;&gt;"Income")*(-1)+(Tracking[Type]="Income"))</f>
        <v>207.69999999999985</v>
      </c>
      <c r="I177" s="51">
        <f>IF(AND(Tracking[[#This Row],[Type]]="Income",shift_late_income_status="Active",DAY(Tracking[[#This Row],[Date]])&gt;=shift_late_income_starting_day),DATE(YEAR(Tracking[[#This Row],[Date]]),MONTH(Tracking[[#This Row],[Date]])+1,1),Tracking[[#This Row],[Date]])</f>
        <v>45841</v>
      </c>
    </row>
    <row r="178" spans="3:9" hidden="1" x14ac:dyDescent="0.3">
      <c r="C178" s="41">
        <v>45844</v>
      </c>
      <c r="D178" s="39" t="s">
        <v>9</v>
      </c>
      <c r="E178" s="39" t="s">
        <v>10</v>
      </c>
      <c r="F178" s="139">
        <v>4.9400000000000004</v>
      </c>
      <c r="G178" s="40" t="s">
        <v>174</v>
      </c>
      <c r="H178" s="43" cm="1">
        <f t="array" ref="H178">SUMPRODUCT(Tracking[Amount],--(Tracking[Date]&lt;=Tracking[[#This Row],[Date]]),(Tracking[Type]&lt;&gt;"Income")*(-1)+(Tracking[Type]="Income"))</f>
        <v>202.75999999999985</v>
      </c>
      <c r="I178" s="51">
        <f>IF(AND(Tracking[[#This Row],[Type]]="Income",shift_late_income_status="Active",DAY(Tracking[[#This Row],[Date]])&gt;=shift_late_income_starting_day),DATE(YEAR(Tracking[[#This Row],[Date]]),MONTH(Tracking[[#This Row],[Date]])+1,1),Tracking[[#This Row],[Date]])</f>
        <v>45844</v>
      </c>
    </row>
    <row r="179" spans="3:9" hidden="1" x14ac:dyDescent="0.3">
      <c r="C179" s="41">
        <v>45848</v>
      </c>
      <c r="D179" s="39" t="s">
        <v>9</v>
      </c>
      <c r="E179" s="39" t="s">
        <v>12</v>
      </c>
      <c r="F179" s="139">
        <f>429.61-216.15</f>
        <v>213.46</v>
      </c>
      <c r="G179" s="40" t="s">
        <v>176</v>
      </c>
      <c r="H179" s="43" cm="1">
        <f t="array" ref="H179">SUMPRODUCT(Tracking[Amount],--(Tracking[Date]&lt;=Tracking[[#This Row],[Date]]),(Tracking[Type]&lt;&gt;"Income")*(-1)+(Tracking[Type]="Income"))</f>
        <v>-62.530000000000157</v>
      </c>
      <c r="I179" s="51">
        <f>IF(AND(Tracking[[#This Row],[Type]]="Income",shift_late_income_status="Active",DAY(Tracking[[#This Row],[Date]])&gt;=shift_late_income_starting_day),DATE(YEAR(Tracking[[#This Row],[Date]]),MONTH(Tracking[[#This Row],[Date]])+1,1),Tracking[[#This Row],[Date]])</f>
        <v>45848</v>
      </c>
    </row>
    <row r="180" spans="3:9" hidden="1" x14ac:dyDescent="0.3">
      <c r="C180" s="41">
        <v>45848</v>
      </c>
      <c r="D180" s="39" t="s">
        <v>9</v>
      </c>
      <c r="E180" s="39" t="s">
        <v>10</v>
      </c>
      <c r="F180" s="139">
        <v>7.33</v>
      </c>
      <c r="G180" s="40" t="s">
        <v>177</v>
      </c>
      <c r="H180" s="43" cm="1">
        <f t="array" ref="H180">SUMPRODUCT(Tracking[Amount],--(Tracking[Date]&lt;=Tracking[[#This Row],[Date]]),(Tracking[Type]&lt;&gt;"Income")*(-1)+(Tracking[Type]="Income"))</f>
        <v>-62.530000000000157</v>
      </c>
      <c r="I180" s="51">
        <f>IF(AND(Tracking[[#This Row],[Type]]="Income",shift_late_income_status="Active",DAY(Tracking[[#This Row],[Date]])&gt;=shift_late_income_starting_day),DATE(YEAR(Tracking[[#This Row],[Date]]),MONTH(Tracking[[#This Row],[Date]])+1,1),Tracking[[#This Row],[Date]])</f>
        <v>45848</v>
      </c>
    </row>
    <row r="181" spans="3:9" hidden="1" x14ac:dyDescent="0.3">
      <c r="C181" s="41">
        <v>45848</v>
      </c>
      <c r="D181" s="39" t="s">
        <v>9</v>
      </c>
      <c r="E181" s="39" t="s">
        <v>10</v>
      </c>
      <c r="F181" s="139">
        <v>29.5</v>
      </c>
      <c r="G181" s="40" t="s">
        <v>165</v>
      </c>
      <c r="H181" s="43" cm="1">
        <f t="array" ref="H181">SUMPRODUCT(Tracking[Amount],--(Tracking[Date]&lt;=Tracking[[#This Row],[Date]]),(Tracking[Type]&lt;&gt;"Income")*(-1)+(Tracking[Type]="Income"))</f>
        <v>-62.530000000000157</v>
      </c>
      <c r="I181" s="51">
        <f>IF(AND(Tracking[[#This Row],[Type]]="Income",shift_late_income_status="Active",DAY(Tracking[[#This Row],[Date]])&gt;=shift_late_income_starting_day),DATE(YEAR(Tracking[[#This Row],[Date]]),MONTH(Tracking[[#This Row],[Date]])+1,1),Tracking[[#This Row],[Date]])</f>
        <v>45848</v>
      </c>
    </row>
    <row r="182" spans="3:9" hidden="1" x14ac:dyDescent="0.3">
      <c r="C182" s="41">
        <v>45848</v>
      </c>
      <c r="D182" s="39" t="s">
        <v>9</v>
      </c>
      <c r="E182" s="39" t="s">
        <v>10</v>
      </c>
      <c r="F182" s="139">
        <v>15</v>
      </c>
      <c r="G182" s="40" t="s">
        <v>178</v>
      </c>
      <c r="H182" s="43" cm="1">
        <f t="array" ref="H182">SUMPRODUCT(Tracking[Amount],--(Tracking[Date]&lt;=Tracking[[#This Row],[Date]]),(Tracking[Type]&lt;&gt;"Income")*(-1)+(Tracking[Type]="Income"))</f>
        <v>-62.530000000000157</v>
      </c>
      <c r="I182" s="51">
        <f>IF(AND(Tracking[[#This Row],[Type]]="Income",shift_late_income_status="Active",DAY(Tracking[[#This Row],[Date]])&gt;=shift_late_income_starting_day),DATE(YEAR(Tracking[[#This Row],[Date]]),MONTH(Tracking[[#This Row],[Date]])+1,1),Tracking[[#This Row],[Date]])</f>
        <v>45848</v>
      </c>
    </row>
    <row r="183" spans="3:9" hidden="1" x14ac:dyDescent="0.3">
      <c r="C183" s="41">
        <v>45849</v>
      </c>
      <c r="D183" s="39" t="s">
        <v>5</v>
      </c>
      <c r="E183" s="39" t="s">
        <v>103</v>
      </c>
      <c r="F183" s="139">
        <v>1050.8599999999999</v>
      </c>
      <c r="G183" s="40" t="s">
        <v>179</v>
      </c>
      <c r="H183" s="43" cm="1">
        <f t="array" ref="H183">SUMPRODUCT(Tracking[Amount],--(Tracking[Date]&lt;=Tracking[[#This Row],[Date]]),(Tracking[Type]&lt;&gt;"Income")*(-1)+(Tracking[Type]="Income"))</f>
        <v>988.3299999999997</v>
      </c>
      <c r="I183" s="51">
        <f>IF(AND(Tracking[[#This Row],[Type]]="Income",shift_late_income_status="Active",DAY(Tracking[[#This Row],[Date]])&gt;=shift_late_income_starting_day),DATE(YEAR(Tracking[[#This Row],[Date]]),MONTH(Tracking[[#This Row],[Date]])+1,1),Tracking[[#This Row],[Date]])</f>
        <v>45849</v>
      </c>
    </row>
    <row r="184" spans="3:9" hidden="1" x14ac:dyDescent="0.3">
      <c r="C184" s="41">
        <v>45850</v>
      </c>
      <c r="D184" s="39" t="s">
        <v>9</v>
      </c>
      <c r="E184" s="39" t="s">
        <v>10</v>
      </c>
      <c r="F184" s="139">
        <v>15.55</v>
      </c>
      <c r="G184" s="40" t="s">
        <v>180</v>
      </c>
      <c r="H184" s="43" cm="1">
        <f t="array" ref="H184">SUMPRODUCT(Tracking[Amount],--(Tracking[Date]&lt;=Tracking[[#This Row],[Date]]),(Tracking[Type]&lt;&gt;"Income")*(-1)+(Tracking[Type]="Income"))</f>
        <v>959.78999999999974</v>
      </c>
      <c r="I184" s="51">
        <f>IF(AND(Tracking[[#This Row],[Type]]="Income",shift_late_income_status="Active",DAY(Tracking[[#This Row],[Date]])&gt;=shift_late_income_starting_day),DATE(YEAR(Tracking[[#This Row],[Date]]),MONTH(Tracking[[#This Row],[Date]])+1,1),Tracking[[#This Row],[Date]])</f>
        <v>45850</v>
      </c>
    </row>
    <row r="185" spans="3:9" hidden="1" x14ac:dyDescent="0.3">
      <c r="C185" s="41">
        <v>45850</v>
      </c>
      <c r="D185" s="39" t="s">
        <v>9</v>
      </c>
      <c r="E185" s="39" t="s">
        <v>111</v>
      </c>
      <c r="F185" s="139">
        <v>12.99</v>
      </c>
      <c r="G185" s="40" t="s">
        <v>181</v>
      </c>
      <c r="H185" s="43" cm="1">
        <f t="array" ref="H185">SUMPRODUCT(Tracking[Amount],--(Tracking[Date]&lt;=Tracking[[#This Row],[Date]]),(Tracking[Type]&lt;&gt;"Income")*(-1)+(Tracking[Type]="Income"))</f>
        <v>959.78999999999974</v>
      </c>
      <c r="I185" s="51">
        <f>IF(AND(Tracking[[#This Row],[Type]]="Income",shift_late_income_status="Active",DAY(Tracking[[#This Row],[Date]])&gt;=shift_late_income_starting_day),DATE(YEAR(Tracking[[#This Row],[Date]]),MONTH(Tracking[[#This Row],[Date]])+1,1),Tracking[[#This Row],[Date]])</f>
        <v>45850</v>
      </c>
    </row>
    <row r="186" spans="3:9" hidden="1" x14ac:dyDescent="0.3">
      <c r="C186" s="41">
        <v>45852</v>
      </c>
      <c r="D186" s="39" t="s">
        <v>14</v>
      </c>
      <c r="E186" s="39" t="s">
        <v>157</v>
      </c>
      <c r="F186" s="139">
        <v>400</v>
      </c>
      <c r="G186" s="40"/>
      <c r="H186" s="43" cm="1">
        <f t="array" ref="H186">SUMPRODUCT(Tracking[Amount],--(Tracking[Date]&lt;=Tracking[[#This Row],[Date]]),(Tracking[Type]&lt;&gt;"Income")*(-1)+(Tracking[Type]="Income"))</f>
        <v>550.72999999999979</v>
      </c>
      <c r="I186" s="51">
        <f>IF(AND(Tracking[[#This Row],[Type]]="Income",shift_late_income_status="Active",DAY(Tracking[[#This Row],[Date]])&gt;=shift_late_income_starting_day),DATE(YEAR(Tracking[[#This Row],[Date]]),MONTH(Tracking[[#This Row],[Date]])+1,1),Tracking[[#This Row],[Date]])</f>
        <v>45852</v>
      </c>
    </row>
    <row r="187" spans="3:9" hidden="1" x14ac:dyDescent="0.3">
      <c r="C187" s="41">
        <v>45852</v>
      </c>
      <c r="D187" s="39" t="s">
        <v>9</v>
      </c>
      <c r="E187" s="39" t="s">
        <v>12</v>
      </c>
      <c r="F187" s="139">
        <v>9.06</v>
      </c>
      <c r="G187" s="40" t="s">
        <v>182</v>
      </c>
      <c r="H187" s="43" cm="1">
        <f t="array" ref="H187">SUMPRODUCT(Tracking[Amount],--(Tracking[Date]&lt;=Tracking[[#This Row],[Date]]),(Tracking[Type]&lt;&gt;"Income")*(-1)+(Tracking[Type]="Income"))</f>
        <v>550.72999999999979</v>
      </c>
      <c r="I187" s="51">
        <f>IF(AND(Tracking[[#This Row],[Type]]="Income",shift_late_income_status="Active",DAY(Tracking[[#This Row],[Date]])&gt;=shift_late_income_starting_day),DATE(YEAR(Tracking[[#This Row],[Date]]),MONTH(Tracking[[#This Row],[Date]])+1,1),Tracking[[#This Row],[Date]])</f>
        <v>45852</v>
      </c>
    </row>
    <row r="188" spans="3:9" hidden="1" x14ac:dyDescent="0.3">
      <c r="C188" s="41">
        <v>45854</v>
      </c>
      <c r="D188" s="39" t="s">
        <v>9</v>
      </c>
      <c r="E188" s="39" t="s">
        <v>108</v>
      </c>
      <c r="F188" s="139">
        <v>14.3</v>
      </c>
      <c r="G188" s="40" t="s">
        <v>183</v>
      </c>
      <c r="H188" s="43" cm="1">
        <f t="array" ref="H188">SUMPRODUCT(Tracking[Amount],--(Tracking[Date]&lt;=Tracking[[#This Row],[Date]]),(Tracking[Type]&lt;&gt;"Income")*(-1)+(Tracking[Type]="Income"))</f>
        <v>507.42999999999984</v>
      </c>
      <c r="I188" s="51">
        <f>IF(AND(Tracking[[#This Row],[Type]]="Income",shift_late_income_status="Active",DAY(Tracking[[#This Row],[Date]])&gt;=shift_late_income_starting_day),DATE(YEAR(Tracking[[#This Row],[Date]]),MONTH(Tracking[[#This Row],[Date]])+1,1),Tracking[[#This Row],[Date]])</f>
        <v>45854</v>
      </c>
    </row>
    <row r="189" spans="3:9" hidden="1" x14ac:dyDescent="0.3">
      <c r="C189" s="41">
        <v>45854</v>
      </c>
      <c r="D189" s="39" t="s">
        <v>9</v>
      </c>
      <c r="E189" s="39" t="s">
        <v>10</v>
      </c>
      <c r="F189" s="139">
        <v>29</v>
      </c>
      <c r="G189" s="40" t="s">
        <v>184</v>
      </c>
      <c r="H189" s="43" cm="1">
        <f t="array" ref="H189">SUMPRODUCT(Tracking[Amount],--(Tracking[Date]&lt;=Tracking[[#This Row],[Date]]),(Tracking[Type]&lt;&gt;"Income")*(-1)+(Tracking[Type]="Income"))</f>
        <v>507.42999999999984</v>
      </c>
      <c r="I189" s="51">
        <f>IF(AND(Tracking[[#This Row],[Type]]="Income",shift_late_income_status="Active",DAY(Tracking[[#This Row],[Date]])&gt;=shift_late_income_starting_day),DATE(YEAR(Tracking[[#This Row],[Date]]),MONTH(Tracking[[#This Row],[Date]])+1,1),Tracking[[#This Row],[Date]])</f>
        <v>45854</v>
      </c>
    </row>
    <row r="190" spans="3:9" hidden="1" x14ac:dyDescent="0.3">
      <c r="C190" s="41">
        <v>45855</v>
      </c>
      <c r="D190" s="39" t="s">
        <v>5</v>
      </c>
      <c r="E190" s="39" t="s">
        <v>104</v>
      </c>
      <c r="F190" s="139">
        <v>52.15</v>
      </c>
      <c r="G190" s="40"/>
      <c r="H190" s="43" cm="1">
        <f t="array" ref="H190">SUMPRODUCT(Tracking[Amount],--(Tracking[Date]&lt;=Tracking[[#This Row],[Date]]),(Tracking[Type]&lt;&gt;"Income")*(-1)+(Tracking[Type]="Income"))</f>
        <v>507.42999999999978</v>
      </c>
      <c r="I190" s="51">
        <f>IF(AND(Tracking[[#This Row],[Type]]="Income",shift_late_income_status="Active",DAY(Tracking[[#This Row],[Date]])&gt;=shift_late_income_starting_day),DATE(YEAR(Tracking[[#This Row],[Date]]),MONTH(Tracking[[#This Row],[Date]])+1,1),Tracking[[#This Row],[Date]])</f>
        <v>45855</v>
      </c>
    </row>
    <row r="191" spans="3:9" hidden="1" x14ac:dyDescent="0.3">
      <c r="C191" s="41">
        <v>45855</v>
      </c>
      <c r="D191" s="39" t="s">
        <v>5</v>
      </c>
      <c r="E191" s="39" t="s">
        <v>104</v>
      </c>
      <c r="F191" s="139">
        <v>12.06</v>
      </c>
      <c r="G191" s="40"/>
      <c r="H191" s="43" cm="1">
        <f t="array" ref="H191">SUMPRODUCT(Tracking[Amount],--(Tracking[Date]&lt;=Tracking[[#This Row],[Date]]),(Tracking[Type]&lt;&gt;"Income")*(-1)+(Tracking[Type]="Income"))</f>
        <v>507.42999999999978</v>
      </c>
      <c r="I191" s="51">
        <f>IF(AND(Tracking[[#This Row],[Type]]="Income",shift_late_income_status="Active",DAY(Tracking[[#This Row],[Date]])&gt;=shift_late_income_starting_day),DATE(YEAR(Tracking[[#This Row],[Date]]),MONTH(Tracking[[#This Row],[Date]])+1,1),Tracking[[#This Row],[Date]])</f>
        <v>45855</v>
      </c>
    </row>
    <row r="192" spans="3:9" hidden="1" x14ac:dyDescent="0.3">
      <c r="C192" s="41">
        <v>45855</v>
      </c>
      <c r="D192" s="39" t="s">
        <v>14</v>
      </c>
      <c r="E192" s="39" t="s">
        <v>109</v>
      </c>
      <c r="F192" s="139">
        <v>52.15</v>
      </c>
      <c r="G192" s="40"/>
      <c r="H192" s="43" cm="1">
        <f t="array" ref="H192">SUMPRODUCT(Tracking[Amount],--(Tracking[Date]&lt;=Tracking[[#This Row],[Date]]),(Tracking[Type]&lt;&gt;"Income")*(-1)+(Tracking[Type]="Income"))</f>
        <v>507.42999999999978</v>
      </c>
      <c r="I192" s="51">
        <f>IF(AND(Tracking[[#This Row],[Type]]="Income",shift_late_income_status="Active",DAY(Tracking[[#This Row],[Date]])&gt;=shift_late_income_starting_day),DATE(YEAR(Tracking[[#This Row],[Date]]),MONTH(Tracking[[#This Row],[Date]])+1,1),Tracking[[#This Row],[Date]])</f>
        <v>45855</v>
      </c>
    </row>
    <row r="193" spans="3:9" hidden="1" x14ac:dyDescent="0.3">
      <c r="C193" s="41">
        <v>45855</v>
      </c>
      <c r="D193" s="39" t="s">
        <v>14</v>
      </c>
      <c r="E193" s="39" t="s">
        <v>110</v>
      </c>
      <c r="F193" s="139">
        <v>12.06</v>
      </c>
      <c r="G193" s="40"/>
      <c r="H193" s="43" cm="1">
        <f t="array" ref="H193">SUMPRODUCT(Tracking[Amount],--(Tracking[Date]&lt;=Tracking[[#This Row],[Date]]),(Tracking[Type]&lt;&gt;"Income")*(-1)+(Tracking[Type]="Income"))</f>
        <v>507.42999999999978</v>
      </c>
      <c r="I193" s="51">
        <f>IF(AND(Tracking[[#This Row],[Type]]="Income",shift_late_income_status="Active",DAY(Tracking[[#This Row],[Date]])&gt;=shift_late_income_starting_day),DATE(YEAR(Tracking[[#This Row],[Date]]),MONTH(Tracking[[#This Row],[Date]])+1,1),Tracking[[#This Row],[Date]])</f>
        <v>45855</v>
      </c>
    </row>
    <row r="194" spans="3:9" hidden="1" x14ac:dyDescent="0.3">
      <c r="C194" s="41">
        <v>45857</v>
      </c>
      <c r="D194" s="39" t="s">
        <v>9</v>
      </c>
      <c r="E194" s="39" t="s">
        <v>111</v>
      </c>
      <c r="F194" s="139">
        <v>21</v>
      </c>
      <c r="G194" s="40" t="s">
        <v>185</v>
      </c>
      <c r="H194" s="43" cm="1">
        <f t="array" ref="H194">SUMPRODUCT(Tracking[Amount],--(Tracking[Date]&lt;=Tracking[[#This Row],[Date]]),(Tracking[Type]&lt;&gt;"Income")*(-1)+(Tracking[Type]="Income"))</f>
        <v>486.42999999999978</v>
      </c>
      <c r="I194" s="51">
        <f>IF(AND(Tracking[[#This Row],[Type]]="Income",shift_late_income_status="Active",DAY(Tracking[[#This Row],[Date]])&gt;=shift_late_income_starting_day),DATE(YEAR(Tracking[[#This Row],[Date]]),MONTH(Tracking[[#This Row],[Date]])+1,1),Tracking[[#This Row],[Date]])</f>
        <v>45857</v>
      </c>
    </row>
    <row r="195" spans="3:9" hidden="1" x14ac:dyDescent="0.3">
      <c r="C195" s="41">
        <v>45860</v>
      </c>
      <c r="D195" s="39" t="s">
        <v>9</v>
      </c>
      <c r="E195" s="39" t="s">
        <v>111</v>
      </c>
      <c r="F195" s="139">
        <v>16.239999999999998</v>
      </c>
      <c r="G195" s="40"/>
      <c r="H195" s="43" cm="1">
        <f t="array" ref="H195">SUMPRODUCT(Tracking[Amount],--(Tracking[Date]&lt;=Tracking[[#This Row],[Date]]),(Tracking[Type]&lt;&gt;"Income")*(-1)+(Tracking[Type]="Income"))</f>
        <v>470.18999999999977</v>
      </c>
      <c r="I195" s="51">
        <f>IF(AND(Tracking[[#This Row],[Type]]="Income",shift_late_income_status="Active",DAY(Tracking[[#This Row],[Date]])&gt;=shift_late_income_starting_day),DATE(YEAR(Tracking[[#This Row],[Date]]),MONTH(Tracking[[#This Row],[Date]])+1,1),Tracking[[#This Row],[Date]])</f>
        <v>45860</v>
      </c>
    </row>
    <row r="196" spans="3:9" hidden="1" x14ac:dyDescent="0.3">
      <c r="C196" s="41">
        <v>45860</v>
      </c>
      <c r="D196" s="39" t="s">
        <v>5</v>
      </c>
      <c r="E196" s="39" t="s">
        <v>104</v>
      </c>
      <c r="F196" s="139">
        <v>26</v>
      </c>
      <c r="G196" s="40"/>
      <c r="H196" s="43" cm="1">
        <f t="array" ref="H196">SUMPRODUCT(Tracking[Amount],--(Tracking[Date]&lt;=Tracking[[#This Row],[Date]]),(Tracking[Type]&lt;&gt;"Income")*(-1)+(Tracking[Type]="Income"))</f>
        <v>470.18999999999977</v>
      </c>
      <c r="I196" s="51">
        <f>IF(AND(Tracking[[#This Row],[Type]]="Income",shift_late_income_status="Active",DAY(Tracking[[#This Row],[Date]])&gt;=shift_late_income_starting_day),DATE(YEAR(Tracking[[#This Row],[Date]]),MONTH(Tracking[[#This Row],[Date]])+1,1),Tracking[[#This Row],[Date]])</f>
        <v>45860</v>
      </c>
    </row>
    <row r="197" spans="3:9" hidden="1" x14ac:dyDescent="0.3">
      <c r="C197" s="41">
        <v>45860</v>
      </c>
      <c r="D197" s="39" t="s">
        <v>14</v>
      </c>
      <c r="E197" s="39" t="s">
        <v>109</v>
      </c>
      <c r="F197" s="139">
        <v>26</v>
      </c>
      <c r="G197" s="40"/>
      <c r="H197" s="43" cm="1">
        <f t="array" ref="H197">SUMPRODUCT(Tracking[Amount],--(Tracking[Date]&lt;=Tracking[[#This Row],[Date]]),(Tracking[Type]&lt;&gt;"Income")*(-1)+(Tracking[Type]="Income"))</f>
        <v>470.18999999999977</v>
      </c>
      <c r="I197" s="51">
        <f>IF(AND(Tracking[[#This Row],[Type]]="Income",shift_late_income_status="Active",DAY(Tracking[[#This Row],[Date]])&gt;=shift_late_income_starting_day),DATE(YEAR(Tracking[[#This Row],[Date]]),MONTH(Tracking[[#This Row],[Date]])+1,1),Tracking[[#This Row],[Date]])</f>
        <v>45860</v>
      </c>
    </row>
    <row r="198" spans="3:9" hidden="1" x14ac:dyDescent="0.3">
      <c r="C198" s="41">
        <v>45861</v>
      </c>
      <c r="D198" s="39" t="s">
        <v>9</v>
      </c>
      <c r="E198" s="39" t="s">
        <v>108</v>
      </c>
      <c r="F198" s="139">
        <v>14.16</v>
      </c>
      <c r="G198" s="40"/>
      <c r="H198" s="43" cm="1">
        <f t="array" ref="H198">SUMPRODUCT(Tracking[Amount],--(Tracking[Date]&lt;=Tracking[[#This Row],[Date]]),(Tracking[Type]&lt;&gt;"Income")*(-1)+(Tracking[Type]="Income"))</f>
        <v>435.22999999999973</v>
      </c>
      <c r="I198" s="51">
        <f>IF(AND(Tracking[[#This Row],[Type]]="Income",shift_late_income_status="Active",DAY(Tracking[[#This Row],[Date]])&gt;=shift_late_income_starting_day),DATE(YEAR(Tracking[[#This Row],[Date]]),MONTH(Tracking[[#This Row],[Date]])+1,1),Tracking[[#This Row],[Date]])</f>
        <v>45861</v>
      </c>
    </row>
    <row r="199" spans="3:9" hidden="1" x14ac:dyDescent="0.3">
      <c r="C199" s="41">
        <v>45861</v>
      </c>
      <c r="D199" s="39" t="s">
        <v>9</v>
      </c>
      <c r="E199" s="39" t="s">
        <v>108</v>
      </c>
      <c r="F199" s="139">
        <v>20.8</v>
      </c>
      <c r="G199" s="40" t="s">
        <v>186</v>
      </c>
      <c r="H199" s="43" cm="1">
        <f t="array" ref="H199">SUMPRODUCT(Tracking[Amount],--(Tracking[Date]&lt;=Tracking[[#This Row],[Date]]),(Tracking[Type]&lt;&gt;"Income")*(-1)+(Tracking[Type]="Income"))</f>
        <v>435.22999999999973</v>
      </c>
      <c r="I199" s="51">
        <f>IF(AND(Tracking[[#This Row],[Type]]="Income",shift_late_income_status="Active",DAY(Tracking[[#This Row],[Date]])&gt;=shift_late_income_starting_day),DATE(YEAR(Tracking[[#This Row],[Date]]),MONTH(Tracking[[#This Row],[Date]])+1,1),Tracking[[#This Row],[Date]])</f>
        <v>45861</v>
      </c>
    </row>
    <row r="200" spans="3:9" hidden="1" x14ac:dyDescent="0.3">
      <c r="C200" s="41">
        <v>45862</v>
      </c>
      <c r="D200" s="39" t="s">
        <v>9</v>
      </c>
      <c r="E200" s="39" t="s">
        <v>10</v>
      </c>
      <c r="F200" s="139">
        <v>15.03</v>
      </c>
      <c r="G200" s="40" t="s">
        <v>145</v>
      </c>
      <c r="H200" s="43" cm="1">
        <f t="array" ref="H200">SUMPRODUCT(Tracking[Amount],--(Tracking[Date]&lt;=Tracking[[#This Row],[Date]]),(Tracking[Type]&lt;&gt;"Income")*(-1)+(Tracking[Type]="Income"))</f>
        <v>1122.6699999999996</v>
      </c>
      <c r="I200" s="51">
        <f>IF(AND(Tracking[[#This Row],[Type]]="Income",shift_late_income_status="Active",DAY(Tracking[[#This Row],[Date]])&gt;=shift_late_income_starting_day),DATE(YEAR(Tracking[[#This Row],[Date]]),MONTH(Tracking[[#This Row],[Date]])+1,1),Tracking[[#This Row],[Date]])</f>
        <v>45862</v>
      </c>
    </row>
    <row r="201" spans="3:9" hidden="1" x14ac:dyDescent="0.3">
      <c r="C201" s="41">
        <v>45862</v>
      </c>
      <c r="D201" s="39" t="s">
        <v>9</v>
      </c>
      <c r="E201" s="39" t="s">
        <v>108</v>
      </c>
      <c r="F201" s="139">
        <v>37.56</v>
      </c>
      <c r="G201" s="40"/>
      <c r="H201" s="43" cm="1">
        <f t="array" ref="H201">SUMPRODUCT(Tracking[Amount],--(Tracking[Date]&lt;=Tracking[[#This Row],[Date]]),(Tracking[Type]&lt;&gt;"Income")*(-1)+(Tracking[Type]="Income"))</f>
        <v>1122.6699999999996</v>
      </c>
      <c r="I201" s="51">
        <f>IF(AND(Tracking[[#This Row],[Type]]="Income",shift_late_income_status="Active",DAY(Tracking[[#This Row],[Date]])&gt;=shift_late_income_starting_day),DATE(YEAR(Tracking[[#This Row],[Date]]),MONTH(Tracking[[#This Row],[Date]])+1,1),Tracking[[#This Row],[Date]])</f>
        <v>45862</v>
      </c>
    </row>
    <row r="202" spans="3:9" hidden="1" x14ac:dyDescent="0.3">
      <c r="C202" s="41">
        <v>45862</v>
      </c>
      <c r="D202" s="39" t="s">
        <v>5</v>
      </c>
      <c r="E202" s="39" t="s">
        <v>103</v>
      </c>
      <c r="F202" s="139">
        <v>740.03</v>
      </c>
      <c r="G202" s="40"/>
      <c r="H202" s="43" cm="1">
        <f t="array" ref="H202">SUMPRODUCT(Tracking[Amount],--(Tracking[Date]&lt;=Tracking[[#This Row],[Date]]),(Tracking[Type]&lt;&gt;"Income")*(-1)+(Tracking[Type]="Income"))</f>
        <v>1122.6699999999996</v>
      </c>
      <c r="I202" s="51">
        <f>IF(AND(Tracking[[#This Row],[Type]]="Income",shift_late_income_status="Active",DAY(Tracking[[#This Row],[Date]])&gt;=shift_late_income_starting_day),DATE(YEAR(Tracking[[#This Row],[Date]]),MONTH(Tracking[[#This Row],[Date]])+1,1),Tracking[[#This Row],[Date]])</f>
        <v>45862</v>
      </c>
    </row>
    <row r="203" spans="3:9" hidden="1" x14ac:dyDescent="0.3">
      <c r="C203" s="41">
        <v>45864</v>
      </c>
      <c r="D203" s="39" t="s">
        <v>9</v>
      </c>
      <c r="E203" s="39" t="s">
        <v>108</v>
      </c>
      <c r="F203" s="139">
        <v>7.56</v>
      </c>
      <c r="G203" s="40" t="s">
        <v>197</v>
      </c>
      <c r="H203" s="43" cm="1">
        <f t="array" ref="H203">SUMPRODUCT(Tracking[Amount],--(Tracking[Date]&lt;=Tracking[[#This Row],[Date]]),(Tracking[Type]&lt;&gt;"Income")*(-1)+(Tracking[Type]="Income"))</f>
        <v>1102.9999999999998</v>
      </c>
      <c r="I203" s="51">
        <f>IF(AND(Tracking[[#This Row],[Type]]="Income",shift_late_income_status="Active",DAY(Tracking[[#This Row],[Date]])&gt;=shift_late_income_starting_day),DATE(YEAR(Tracking[[#This Row],[Date]]),MONTH(Tracking[[#This Row],[Date]])+1,1),Tracking[[#This Row],[Date]])</f>
        <v>45864</v>
      </c>
    </row>
    <row r="204" spans="3:9" hidden="1" x14ac:dyDescent="0.3">
      <c r="C204" s="41">
        <v>45864</v>
      </c>
      <c r="D204" s="39" t="s">
        <v>9</v>
      </c>
      <c r="E204" s="39" t="s">
        <v>108</v>
      </c>
      <c r="F204" s="139">
        <v>0.35</v>
      </c>
      <c r="G204" s="40"/>
      <c r="H204" s="43" cm="1">
        <f t="array" ref="H204">SUMPRODUCT(Tracking[Amount],--(Tracking[Date]&lt;=Tracking[[#This Row],[Date]]),(Tracking[Type]&lt;&gt;"Income")*(-1)+(Tracking[Type]="Income"))</f>
        <v>1102.9999999999998</v>
      </c>
      <c r="I204" s="51">
        <f>IF(AND(Tracking[[#This Row],[Type]]="Income",shift_late_income_status="Active",DAY(Tracking[[#This Row],[Date]])&gt;=shift_late_income_starting_day),DATE(YEAR(Tracking[[#This Row],[Date]]),MONTH(Tracking[[#This Row],[Date]])+1,1),Tracking[[#This Row],[Date]])</f>
        <v>45864</v>
      </c>
    </row>
    <row r="205" spans="3:9" hidden="1" x14ac:dyDescent="0.3">
      <c r="C205" s="41">
        <v>45864</v>
      </c>
      <c r="D205" s="39" t="s">
        <v>9</v>
      </c>
      <c r="E205" s="39" t="s">
        <v>108</v>
      </c>
      <c r="F205" s="139">
        <v>11.76</v>
      </c>
      <c r="G205" s="40"/>
      <c r="H205" s="43" cm="1">
        <f t="array" ref="H205">SUMPRODUCT(Tracking[Amount],--(Tracking[Date]&lt;=Tracking[[#This Row],[Date]]),(Tracking[Type]&lt;&gt;"Income")*(-1)+(Tracking[Type]="Income"))</f>
        <v>1102.9999999999998</v>
      </c>
      <c r="I205" s="51">
        <f>IF(AND(Tracking[[#This Row],[Type]]="Income",shift_late_income_status="Active",DAY(Tracking[[#This Row],[Date]])&gt;=shift_late_income_starting_day),DATE(YEAR(Tracking[[#This Row],[Date]]),MONTH(Tracking[[#This Row],[Date]])+1,1),Tracking[[#This Row],[Date]])</f>
        <v>45864</v>
      </c>
    </row>
    <row r="206" spans="3:9" hidden="1" x14ac:dyDescent="0.3">
      <c r="C206" s="41">
        <v>45865</v>
      </c>
      <c r="D206" s="39" t="s">
        <v>9</v>
      </c>
      <c r="E206" s="39" t="s">
        <v>12</v>
      </c>
      <c r="F206" s="139">
        <v>21.6</v>
      </c>
      <c r="G206" s="40" t="s">
        <v>198</v>
      </c>
      <c r="H206" s="43" cm="1">
        <f t="array" ref="H206">SUMPRODUCT(Tracking[Amount],--(Tracking[Date]&lt;=Tracking[[#This Row],[Date]]),(Tracking[Type]&lt;&gt;"Income")*(-1)+(Tracking[Type]="Income"))</f>
        <v>1054.9399999999998</v>
      </c>
      <c r="I206" s="51">
        <f>IF(AND(Tracking[[#This Row],[Type]]="Income",shift_late_income_status="Active",DAY(Tracking[[#This Row],[Date]])&gt;=shift_late_income_starting_day),DATE(YEAR(Tracking[[#This Row],[Date]]),MONTH(Tracking[[#This Row],[Date]])+1,1),Tracking[[#This Row],[Date]])</f>
        <v>45865</v>
      </c>
    </row>
    <row r="207" spans="3:9" hidden="1" x14ac:dyDescent="0.3">
      <c r="C207" s="41">
        <v>45865</v>
      </c>
      <c r="D207" s="39" t="s">
        <v>9</v>
      </c>
      <c r="E207" s="39" t="s">
        <v>10</v>
      </c>
      <c r="F207" s="139">
        <v>26.46</v>
      </c>
      <c r="G207" s="40"/>
      <c r="H207" s="43" cm="1">
        <f t="array" ref="H207">SUMPRODUCT(Tracking[Amount],--(Tracking[Date]&lt;=Tracking[[#This Row],[Date]]),(Tracking[Type]&lt;&gt;"Income")*(-1)+(Tracking[Type]="Income"))</f>
        <v>1054.9399999999998</v>
      </c>
      <c r="I207" s="51">
        <f>IF(AND(Tracking[[#This Row],[Type]]="Income",shift_late_income_status="Active",DAY(Tracking[[#This Row],[Date]])&gt;=shift_late_income_starting_day),DATE(YEAR(Tracking[[#This Row],[Date]]),MONTH(Tracking[[#This Row],[Date]])+1,1),Tracking[[#This Row],[Date]])</f>
        <v>45865</v>
      </c>
    </row>
    <row r="208" spans="3:9" hidden="1" x14ac:dyDescent="0.3">
      <c r="C208" s="41">
        <v>45867</v>
      </c>
      <c r="D208" s="39" t="s">
        <v>14</v>
      </c>
      <c r="E208" s="39" t="s">
        <v>157</v>
      </c>
      <c r="F208" s="139">
        <v>300</v>
      </c>
      <c r="G208" s="40"/>
      <c r="H208" s="43" cm="1">
        <f t="array" ref="H208">SUMPRODUCT(Tracking[Amount],--(Tracking[Date]&lt;=Tracking[[#This Row],[Date]]),(Tracking[Type]&lt;&gt;"Income")*(-1)+(Tracking[Type]="Income"))</f>
        <v>754.93999999999983</v>
      </c>
      <c r="I208" s="51">
        <f>IF(AND(Tracking[[#This Row],[Type]]="Income",shift_late_income_status="Active",DAY(Tracking[[#This Row],[Date]])&gt;=shift_late_income_starting_day),DATE(YEAR(Tracking[[#This Row],[Date]]),MONTH(Tracking[[#This Row],[Date]])+1,1),Tracking[[#This Row],[Date]])</f>
        <v>45867</v>
      </c>
    </row>
    <row r="209" spans="3:9" hidden="1" x14ac:dyDescent="0.3">
      <c r="C209" s="41">
        <v>45869</v>
      </c>
      <c r="D209" s="39" t="s">
        <v>9</v>
      </c>
      <c r="E209" s="39" t="s">
        <v>10</v>
      </c>
      <c r="F209" s="139">
        <v>43.35</v>
      </c>
      <c r="G209" s="40" t="s">
        <v>203</v>
      </c>
      <c r="H209" s="43" cm="1">
        <f t="array" ref="H209">SUMPRODUCT(Tracking[Amount],--(Tracking[Date]&lt;=Tracking[[#This Row],[Date]]),(Tracking[Type]&lt;&gt;"Income")*(-1)+(Tracking[Type]="Income"))</f>
        <v>711.5899999999998</v>
      </c>
      <c r="I209" s="51">
        <f>IF(AND(Tracking[[#This Row],[Type]]="Income",shift_late_income_status="Active",DAY(Tracking[[#This Row],[Date]])&gt;=shift_late_income_starting_day),DATE(YEAR(Tracking[[#This Row],[Date]]),MONTH(Tracking[[#This Row],[Date]])+1,1),Tracking[[#This Row],[Date]])</f>
        <v>45869</v>
      </c>
    </row>
    <row r="210" spans="3:9" hidden="1" x14ac:dyDescent="0.3">
      <c r="C210" s="41">
        <v>45870</v>
      </c>
      <c r="D210" s="39" t="s">
        <v>9</v>
      </c>
      <c r="E210" s="39" t="s">
        <v>10</v>
      </c>
      <c r="F210" s="139">
        <v>11.9</v>
      </c>
      <c r="G210" s="40" t="s">
        <v>173</v>
      </c>
      <c r="H210" s="43" cm="1">
        <f t="array" ref="H210">SUMPRODUCT(Tracking[Amount],--(Tracking[Date]&lt;=Tracking[[#This Row],[Date]]),(Tracking[Type]&lt;&gt;"Income")*(-1)+(Tracking[Type]="Income"))</f>
        <v>652.26999999999987</v>
      </c>
      <c r="I210" s="51">
        <f>IF(AND(Tracking[[#This Row],[Type]]="Income",shift_late_income_status="Active",DAY(Tracking[[#This Row],[Date]])&gt;=shift_late_income_starting_day),DATE(YEAR(Tracking[[#This Row],[Date]]),MONTH(Tracking[[#This Row],[Date]])+1,1),Tracking[[#This Row],[Date]])</f>
        <v>45870</v>
      </c>
    </row>
    <row r="211" spans="3:9" hidden="1" x14ac:dyDescent="0.3">
      <c r="C211" s="41">
        <v>45870</v>
      </c>
      <c r="D211" s="39" t="s">
        <v>9</v>
      </c>
      <c r="E211" s="39" t="s">
        <v>12</v>
      </c>
      <c r="F211" s="139">
        <v>9.5299999999999994</v>
      </c>
      <c r="G211" s="40" t="s">
        <v>182</v>
      </c>
      <c r="H211" s="43" cm="1">
        <f t="array" ref="H211">SUMPRODUCT(Tracking[Amount],--(Tracking[Date]&lt;=Tracking[[#This Row],[Date]]),(Tracking[Type]&lt;&gt;"Income")*(-1)+(Tracking[Type]="Income"))</f>
        <v>652.26999999999987</v>
      </c>
      <c r="I211" s="51">
        <f>IF(AND(Tracking[[#This Row],[Type]]="Income",shift_late_income_status="Active",DAY(Tracking[[#This Row],[Date]])&gt;=shift_late_income_starting_day),DATE(YEAR(Tracking[[#This Row],[Date]]),MONTH(Tracking[[#This Row],[Date]])+1,1),Tracking[[#This Row],[Date]])</f>
        <v>45870</v>
      </c>
    </row>
    <row r="212" spans="3:9" hidden="1" x14ac:dyDescent="0.3">
      <c r="C212" s="41">
        <v>45870</v>
      </c>
      <c r="D212" s="39" t="s">
        <v>9</v>
      </c>
      <c r="E212" s="39" t="s">
        <v>166</v>
      </c>
      <c r="F212" s="139">
        <v>37.89</v>
      </c>
      <c r="G212" s="40"/>
      <c r="H212" s="43" cm="1">
        <f t="array" ref="H212">SUMPRODUCT(Tracking[Amount],--(Tracking[Date]&lt;=Tracking[[#This Row],[Date]]),(Tracking[Type]&lt;&gt;"Income")*(-1)+(Tracking[Type]="Income"))</f>
        <v>652.26999999999987</v>
      </c>
      <c r="I212" s="51">
        <f>IF(AND(Tracking[[#This Row],[Type]]="Income",shift_late_income_status="Active",DAY(Tracking[[#This Row],[Date]])&gt;=shift_late_income_starting_day),DATE(YEAR(Tracking[[#This Row],[Date]]),MONTH(Tracking[[#This Row],[Date]])+1,1),Tracking[[#This Row],[Date]])</f>
        <v>45870</v>
      </c>
    </row>
    <row r="213" spans="3:9" hidden="1" x14ac:dyDescent="0.3">
      <c r="C213" s="41">
        <v>45873</v>
      </c>
      <c r="D213" s="39" t="s">
        <v>9</v>
      </c>
      <c r="E213" s="39" t="s">
        <v>111</v>
      </c>
      <c r="F213" s="139">
        <v>21.62</v>
      </c>
      <c r="G213" s="40" t="s">
        <v>217</v>
      </c>
      <c r="H213" s="43" cm="1">
        <f t="array" ref="H213">SUMPRODUCT(Tracking[Amount],--(Tracking[Date]&lt;=Tracking[[#This Row],[Date]]),(Tracking[Type]&lt;&gt;"Income")*(-1)+(Tracking[Type]="Income"))</f>
        <v>546.17999999999984</v>
      </c>
      <c r="I213" s="51">
        <f>IF(AND(Tracking[[#This Row],[Type]]="Income",shift_late_income_status="Active",DAY(Tracking[[#This Row],[Date]])&gt;=shift_late_income_starting_day),DATE(YEAR(Tracking[[#This Row],[Date]]),MONTH(Tracking[[#This Row],[Date]])+1,1),Tracking[[#This Row],[Date]])</f>
        <v>45873</v>
      </c>
    </row>
    <row r="214" spans="3:9" hidden="1" x14ac:dyDescent="0.3">
      <c r="C214" s="41">
        <v>45873</v>
      </c>
      <c r="D214" s="39" t="s">
        <v>9</v>
      </c>
      <c r="E214" s="39" t="s">
        <v>10</v>
      </c>
      <c r="F214" s="139">
        <v>22.24</v>
      </c>
      <c r="G214" s="40" t="s">
        <v>177</v>
      </c>
      <c r="H214" s="43" cm="1">
        <f t="array" ref="H214">SUMPRODUCT(Tracking[Amount],--(Tracking[Date]&lt;=Tracking[[#This Row],[Date]]),(Tracking[Type]&lt;&gt;"Income")*(-1)+(Tracking[Type]="Income"))</f>
        <v>546.17999999999984</v>
      </c>
      <c r="I214" s="51">
        <f>IF(AND(Tracking[[#This Row],[Type]]="Income",shift_late_income_status="Active",DAY(Tracking[[#This Row],[Date]])&gt;=shift_late_income_starting_day),DATE(YEAR(Tracking[[#This Row],[Date]]),MONTH(Tracking[[#This Row],[Date]])+1,1),Tracking[[#This Row],[Date]])</f>
        <v>45873</v>
      </c>
    </row>
    <row r="215" spans="3:9" hidden="1" x14ac:dyDescent="0.3">
      <c r="C215" s="41">
        <v>45873</v>
      </c>
      <c r="D215" s="39" t="s">
        <v>9</v>
      </c>
      <c r="E215" s="39" t="s">
        <v>10</v>
      </c>
      <c r="F215" s="139">
        <v>24.34</v>
      </c>
      <c r="G215" s="40" t="s">
        <v>218</v>
      </c>
      <c r="H215" s="43" cm="1">
        <f t="array" ref="H215">SUMPRODUCT(Tracking[Amount],--(Tracking[Date]&lt;=Tracking[[#This Row],[Date]]),(Tracking[Type]&lt;&gt;"Income")*(-1)+(Tracking[Type]="Income"))</f>
        <v>546.17999999999984</v>
      </c>
      <c r="I215" s="51">
        <f>IF(AND(Tracking[[#This Row],[Type]]="Income",shift_late_income_status="Active",DAY(Tracking[[#This Row],[Date]])&gt;=shift_late_income_starting_day),DATE(YEAR(Tracking[[#This Row],[Date]]),MONTH(Tracking[[#This Row],[Date]])+1,1),Tracking[[#This Row],[Date]])</f>
        <v>45873</v>
      </c>
    </row>
    <row r="216" spans="3:9" hidden="1" x14ac:dyDescent="0.3">
      <c r="C216" s="41">
        <v>45873</v>
      </c>
      <c r="D216" s="39" t="s">
        <v>9</v>
      </c>
      <c r="E216" s="39" t="s">
        <v>166</v>
      </c>
      <c r="F216" s="139">
        <v>37.89</v>
      </c>
      <c r="G216" s="40"/>
      <c r="H216" s="43" cm="1">
        <f t="array" ref="H216">SUMPRODUCT(Tracking[Amount],--(Tracking[Date]&lt;=Tracking[[#This Row],[Date]]),(Tracking[Type]&lt;&gt;"Income")*(-1)+(Tracking[Type]="Income"))</f>
        <v>546.17999999999984</v>
      </c>
      <c r="I216" s="51">
        <f>IF(AND(Tracking[[#This Row],[Type]]="Income",shift_late_income_status="Active",DAY(Tracking[[#This Row],[Date]])&gt;=shift_late_income_starting_day),DATE(YEAR(Tracking[[#This Row],[Date]]),MONTH(Tracking[[#This Row],[Date]])+1,1),Tracking[[#This Row],[Date]])</f>
        <v>45873</v>
      </c>
    </row>
    <row r="217" spans="3:9" hidden="1" x14ac:dyDescent="0.3">
      <c r="C217" s="41">
        <v>45874</v>
      </c>
      <c r="D217" s="39" t="s">
        <v>9</v>
      </c>
      <c r="E217" s="39" t="s">
        <v>10</v>
      </c>
      <c r="F217" s="139">
        <v>52.6</v>
      </c>
      <c r="G217" s="40" t="s">
        <v>144</v>
      </c>
      <c r="H217" s="43" cm="1">
        <f t="array" ref="H217">SUMPRODUCT(Tracking[Amount],--(Tracking[Date]&lt;=Tracking[[#This Row],[Date]]),(Tracking[Type]&lt;&gt;"Income")*(-1)+(Tracking[Type]="Income"))</f>
        <v>493.57999999999981</v>
      </c>
      <c r="I217" s="51">
        <f>IF(AND(Tracking[[#This Row],[Type]]="Income",shift_late_income_status="Active",DAY(Tracking[[#This Row],[Date]])&gt;=shift_late_income_starting_day),DATE(YEAR(Tracking[[#This Row],[Date]]),MONTH(Tracking[[#This Row],[Date]])+1,1),Tracking[[#This Row],[Date]])</f>
        <v>45874</v>
      </c>
    </row>
    <row r="218" spans="3:9" hidden="1" x14ac:dyDescent="0.3">
      <c r="C218" s="41">
        <v>45875</v>
      </c>
      <c r="D218" s="39" t="s">
        <v>9</v>
      </c>
      <c r="E218" s="39" t="s">
        <v>10</v>
      </c>
      <c r="F218" s="139">
        <v>14.25</v>
      </c>
      <c r="G218" s="40" t="s">
        <v>219</v>
      </c>
      <c r="H218" s="43" cm="1">
        <f t="array" ref="H218">SUMPRODUCT(Tracking[Amount],--(Tracking[Date]&lt;=Tracking[[#This Row],[Date]]),(Tracking[Type]&lt;&gt;"Income")*(-1)+(Tracking[Type]="Income"))</f>
        <v>479.32999999999981</v>
      </c>
      <c r="I218" s="51">
        <f>IF(AND(Tracking[[#This Row],[Type]]="Income",shift_late_income_status="Active",DAY(Tracking[[#This Row],[Date]])&gt;=shift_late_income_starting_day),DATE(YEAR(Tracking[[#This Row],[Date]]),MONTH(Tracking[[#This Row],[Date]])+1,1),Tracking[[#This Row],[Date]])</f>
        <v>45875</v>
      </c>
    </row>
    <row r="219" spans="3:9" hidden="1" x14ac:dyDescent="0.3">
      <c r="C219" s="41">
        <v>45876</v>
      </c>
      <c r="D219" s="39" t="s">
        <v>9</v>
      </c>
      <c r="E219" s="39" t="s">
        <v>108</v>
      </c>
      <c r="F219" s="139">
        <v>21.62</v>
      </c>
      <c r="G219" s="40" t="s">
        <v>113</v>
      </c>
      <c r="H219" s="43" cm="1">
        <f t="array" ref="H219">SUMPRODUCT(Tracking[Amount],--(Tracking[Date]&lt;=Tracking[[#This Row],[Date]]),(Tracking[Type]&lt;&gt;"Income")*(-1)+(Tracking[Type]="Income"))</f>
        <v>457.70999999999981</v>
      </c>
      <c r="I219" s="51">
        <f>IF(AND(Tracking[[#This Row],[Type]]="Income",shift_late_income_status="Active",DAY(Tracking[[#This Row],[Date]])&gt;=shift_late_income_starting_day),DATE(YEAR(Tracking[[#This Row],[Date]]),MONTH(Tracking[[#This Row],[Date]])+1,1),Tracking[[#This Row],[Date]])</f>
        <v>45876</v>
      </c>
    </row>
    <row r="220" spans="3:9" hidden="1" x14ac:dyDescent="0.3">
      <c r="C220" s="41">
        <v>45877</v>
      </c>
      <c r="D220" s="39" t="s">
        <v>5</v>
      </c>
      <c r="E220" s="39" t="s">
        <v>103</v>
      </c>
      <c r="F220" s="139">
        <v>1056.29</v>
      </c>
      <c r="G220" s="40"/>
      <c r="H220" s="43" cm="1">
        <f t="array" ref="H220">SUMPRODUCT(Tracking[Amount],--(Tracking[Date]&lt;=Tracking[[#This Row],[Date]]),(Tracking[Type]&lt;&gt;"Income")*(-1)+(Tracking[Type]="Income"))</f>
        <v>1318.7099999999998</v>
      </c>
      <c r="I220" s="51">
        <f>IF(AND(Tracking[[#This Row],[Type]]="Income",shift_late_income_status="Active",DAY(Tracking[[#This Row],[Date]])&gt;=shift_late_income_starting_day),DATE(YEAR(Tracking[[#This Row],[Date]]),MONTH(Tracking[[#This Row],[Date]])+1,1),Tracking[[#This Row],[Date]])</f>
        <v>45877</v>
      </c>
    </row>
    <row r="221" spans="3:9" hidden="1" x14ac:dyDescent="0.3">
      <c r="C221" s="41">
        <v>45877</v>
      </c>
      <c r="D221" s="39" t="s">
        <v>9</v>
      </c>
      <c r="E221" s="39" t="s">
        <v>166</v>
      </c>
      <c r="F221" s="139">
        <v>162.38</v>
      </c>
      <c r="G221" s="40" t="s">
        <v>220</v>
      </c>
      <c r="H221" s="43" cm="1">
        <f t="array" ref="H221">SUMPRODUCT(Tracking[Amount],--(Tracking[Date]&lt;=Tracking[[#This Row],[Date]]),(Tracking[Type]&lt;&gt;"Income")*(-1)+(Tracking[Type]="Income"))</f>
        <v>1318.7099999999998</v>
      </c>
      <c r="I221" s="51">
        <f>IF(AND(Tracking[[#This Row],[Type]]="Income",shift_late_income_status="Active",DAY(Tracking[[#This Row],[Date]])&gt;=shift_late_income_starting_day),DATE(YEAR(Tracking[[#This Row],[Date]]),MONTH(Tracking[[#This Row],[Date]])+1,1),Tracking[[#This Row],[Date]])</f>
        <v>45877</v>
      </c>
    </row>
    <row r="222" spans="3:9" hidden="1" x14ac:dyDescent="0.3">
      <c r="C222" s="41">
        <v>45877</v>
      </c>
      <c r="D222" s="39" t="s">
        <v>9</v>
      </c>
      <c r="E222" s="39" t="s">
        <v>10</v>
      </c>
      <c r="F222" s="139">
        <v>32.909999999999997</v>
      </c>
      <c r="G222" s="40" t="s">
        <v>221</v>
      </c>
      <c r="H222" s="43" cm="1">
        <f t="array" ref="H222">SUMPRODUCT(Tracking[Amount],--(Tracking[Date]&lt;=Tracking[[#This Row],[Date]]),(Tracking[Type]&lt;&gt;"Income")*(-1)+(Tracking[Type]="Income"))</f>
        <v>1318.7099999999998</v>
      </c>
      <c r="I222" s="51">
        <f>IF(AND(Tracking[[#This Row],[Type]]="Income",shift_late_income_status="Active",DAY(Tracking[[#This Row],[Date]])&gt;=shift_late_income_starting_day),DATE(YEAR(Tracking[[#This Row],[Date]]),MONTH(Tracking[[#This Row],[Date]])+1,1),Tracking[[#This Row],[Date]])</f>
        <v>45877</v>
      </c>
    </row>
    <row r="223" spans="3:9" hidden="1" x14ac:dyDescent="0.3">
      <c r="C223" s="41">
        <v>45878</v>
      </c>
      <c r="D223" s="39" t="s">
        <v>14</v>
      </c>
      <c r="E223" s="39" t="s">
        <v>157</v>
      </c>
      <c r="F223" s="139">
        <v>807.7</v>
      </c>
      <c r="G223" s="40"/>
      <c r="H223" s="43" cm="1">
        <f t="array" ref="H223">SUMPRODUCT(Tracking[Amount],--(Tracking[Date]&lt;=Tracking[[#This Row],[Date]]),(Tracking[Type]&lt;&gt;"Income")*(-1)+(Tracking[Type]="Income"))</f>
        <v>511.00999999999976</v>
      </c>
      <c r="I223" s="51">
        <f>IF(AND(Tracking[[#This Row],[Type]]="Income",shift_late_income_status="Active",DAY(Tracking[[#This Row],[Date]])&gt;=shift_late_income_starting_day),DATE(YEAR(Tracking[[#This Row],[Date]]),MONTH(Tracking[[#This Row],[Date]])+1,1),Tracking[[#This Row],[Date]])</f>
        <v>45878</v>
      </c>
    </row>
    <row r="224" spans="3:9" hidden="1" x14ac:dyDescent="0.3">
      <c r="C224" s="41">
        <v>45880</v>
      </c>
      <c r="D224" s="39" t="s">
        <v>9</v>
      </c>
      <c r="E224" s="39" t="s">
        <v>10</v>
      </c>
      <c r="F224" s="139">
        <v>26.31</v>
      </c>
      <c r="G224" s="40" t="s">
        <v>177</v>
      </c>
      <c r="H224" s="43" cm="1">
        <f t="array" ref="H224">SUMPRODUCT(Tracking[Amount],--(Tracking[Date]&lt;=Tracking[[#This Row],[Date]]),(Tracking[Type]&lt;&gt;"Income")*(-1)+(Tracking[Type]="Income"))</f>
        <v>459.19999999999976</v>
      </c>
      <c r="I224" s="51">
        <f>IF(AND(Tracking[[#This Row],[Type]]="Income",shift_late_income_status="Active",DAY(Tracking[[#This Row],[Date]])&gt;=shift_late_income_starting_day),DATE(YEAR(Tracking[[#This Row],[Date]]),MONTH(Tracking[[#This Row],[Date]])+1,1),Tracking[[#This Row],[Date]])</f>
        <v>45880</v>
      </c>
    </row>
    <row r="225" spans="3:9" hidden="1" x14ac:dyDescent="0.3">
      <c r="C225" s="41">
        <v>45880</v>
      </c>
      <c r="D225" s="39" t="s">
        <v>9</v>
      </c>
      <c r="E225" s="39" t="s">
        <v>111</v>
      </c>
      <c r="F225" s="139">
        <v>25.5</v>
      </c>
      <c r="G225" s="40" t="s">
        <v>223</v>
      </c>
      <c r="H225" s="43" cm="1">
        <f t="array" ref="H225">SUMPRODUCT(Tracking[Amount],--(Tracking[Date]&lt;=Tracking[[#This Row],[Date]]),(Tracking[Type]&lt;&gt;"Income")*(-1)+(Tracking[Type]="Income"))</f>
        <v>459.19999999999976</v>
      </c>
      <c r="I225" s="51">
        <f>IF(AND(Tracking[[#This Row],[Type]]="Income",shift_late_income_status="Active",DAY(Tracking[[#This Row],[Date]])&gt;=shift_late_income_starting_day),DATE(YEAR(Tracking[[#This Row],[Date]]),MONTH(Tracking[[#This Row],[Date]])+1,1),Tracking[[#This Row],[Date]])</f>
        <v>45880</v>
      </c>
    </row>
    <row r="226" spans="3:9" hidden="1" x14ac:dyDescent="0.3">
      <c r="C226" s="41">
        <v>45881</v>
      </c>
      <c r="D226" s="39" t="s">
        <v>9</v>
      </c>
      <c r="E226" s="39" t="s">
        <v>10</v>
      </c>
      <c r="F226" s="139">
        <v>12.3</v>
      </c>
      <c r="G226" s="40" t="s">
        <v>222</v>
      </c>
      <c r="H226" s="43" cm="1">
        <f t="array" ref="H226">SUMPRODUCT(Tracking[Amount],--(Tracking[Date]&lt;=Tracking[[#This Row],[Date]]),(Tracking[Type]&lt;&gt;"Income")*(-1)+(Tracking[Type]="Income"))</f>
        <v>446.89999999999975</v>
      </c>
      <c r="I226" s="51">
        <f>IF(AND(Tracking[[#This Row],[Type]]="Income",shift_late_income_status="Active",DAY(Tracking[[#This Row],[Date]])&gt;=shift_late_income_starting_day),DATE(YEAR(Tracking[[#This Row],[Date]]),MONTH(Tracking[[#This Row],[Date]])+1,1),Tracking[[#This Row],[Date]])</f>
        <v>45881</v>
      </c>
    </row>
    <row r="227" spans="3:9" hidden="1" x14ac:dyDescent="0.3">
      <c r="C227" s="41">
        <v>45883</v>
      </c>
      <c r="D227" s="39" t="s">
        <v>9</v>
      </c>
      <c r="E227" s="39" t="s">
        <v>108</v>
      </c>
      <c r="F227" s="139">
        <v>12.1</v>
      </c>
      <c r="G227" s="40" t="s">
        <v>224</v>
      </c>
      <c r="H227" s="43" cm="1">
        <f t="array" ref="H227">SUMPRODUCT(Tracking[Amount],--(Tracking[Date]&lt;=Tracking[[#This Row],[Date]]),(Tracking[Type]&lt;&gt;"Income")*(-1)+(Tracking[Type]="Income"))</f>
        <v>434.79999999999973</v>
      </c>
      <c r="I227" s="51">
        <f>IF(AND(Tracking[[#This Row],[Type]]="Income",shift_late_income_status="Active",DAY(Tracking[[#This Row],[Date]])&gt;=shift_late_income_starting_day),DATE(YEAR(Tracking[[#This Row],[Date]]),MONTH(Tracking[[#This Row],[Date]])+1,1),Tracking[[#This Row],[Date]])</f>
        <v>45883</v>
      </c>
    </row>
    <row r="228" spans="3:9" hidden="1" x14ac:dyDescent="0.3">
      <c r="C228" s="41">
        <v>45884</v>
      </c>
      <c r="D228" s="39" t="s">
        <v>9</v>
      </c>
      <c r="E228" s="39" t="s">
        <v>10</v>
      </c>
      <c r="F228" s="139">
        <v>18.239999999999998</v>
      </c>
      <c r="G228" s="40" t="s">
        <v>171</v>
      </c>
      <c r="H228" s="43" cm="1">
        <f t="array" ref="H228">SUMPRODUCT(Tracking[Amount],--(Tracking[Date]&lt;=Tracking[[#This Row],[Date]]),(Tracking[Type]&lt;&gt;"Income")*(-1)+(Tracking[Type]="Income"))</f>
        <v>404.67999999999972</v>
      </c>
      <c r="I228" s="51">
        <f>IF(AND(Tracking[[#This Row],[Type]]="Income",shift_late_income_status="Active",DAY(Tracking[[#This Row],[Date]])&gt;=shift_late_income_starting_day),DATE(YEAR(Tracking[[#This Row],[Date]]),MONTH(Tracking[[#This Row],[Date]])+1,1),Tracking[[#This Row],[Date]])</f>
        <v>45884</v>
      </c>
    </row>
    <row r="229" spans="3:9" hidden="1" x14ac:dyDescent="0.3">
      <c r="C229" s="41">
        <v>45884</v>
      </c>
      <c r="D229" s="39" t="s">
        <v>9</v>
      </c>
      <c r="E229" s="39" t="s">
        <v>11</v>
      </c>
      <c r="F229" s="139">
        <v>11.88</v>
      </c>
      <c r="G229" s="40" t="s">
        <v>227</v>
      </c>
      <c r="H229" s="43" cm="1">
        <f t="array" ref="H229">SUMPRODUCT(Tracking[Amount],--(Tracking[Date]&lt;=Tracking[[#This Row],[Date]]),(Tracking[Type]&lt;&gt;"Income")*(-1)+(Tracking[Type]="Income"))</f>
        <v>404.67999999999972</v>
      </c>
      <c r="I229" s="51">
        <f>IF(AND(Tracking[[#This Row],[Type]]="Income",shift_late_income_status="Active",DAY(Tracking[[#This Row],[Date]])&gt;=shift_late_income_starting_day),DATE(YEAR(Tracking[[#This Row],[Date]]),MONTH(Tracking[[#This Row],[Date]])+1,1),Tracking[[#This Row],[Date]])</f>
        <v>45884</v>
      </c>
    </row>
    <row r="230" spans="3:9" hidden="1" x14ac:dyDescent="0.3">
      <c r="C230" s="41">
        <v>45885</v>
      </c>
      <c r="D230" s="39" t="s">
        <v>9</v>
      </c>
      <c r="E230" s="39" t="s">
        <v>10</v>
      </c>
      <c r="F230" s="139">
        <f>6.05+15.03</f>
        <v>21.08</v>
      </c>
      <c r="G230" s="40" t="s">
        <v>145</v>
      </c>
      <c r="H230" s="43" cm="1">
        <f t="array" ref="H230">SUMPRODUCT(Tracking[Amount],--(Tracking[Date]&lt;=Tracking[[#This Row],[Date]]),(Tracking[Type]&lt;&gt;"Income")*(-1)+(Tracking[Type]="Income"))</f>
        <v>377.12999999999971</v>
      </c>
      <c r="I230" s="51">
        <f>IF(AND(Tracking[[#This Row],[Type]]="Income",shift_late_income_status="Active",DAY(Tracking[[#This Row],[Date]])&gt;=shift_late_income_starting_day),DATE(YEAR(Tracking[[#This Row],[Date]]),MONTH(Tracking[[#This Row],[Date]])+1,1),Tracking[[#This Row],[Date]])</f>
        <v>45885</v>
      </c>
    </row>
    <row r="231" spans="3:9" hidden="1" x14ac:dyDescent="0.3">
      <c r="C231" s="41">
        <v>45885</v>
      </c>
      <c r="D231" s="39" t="s">
        <v>9</v>
      </c>
      <c r="E231" s="39" t="s">
        <v>108</v>
      </c>
      <c r="F231" s="139">
        <v>6.47</v>
      </c>
      <c r="G231" s="40" t="s">
        <v>225</v>
      </c>
      <c r="H231" s="43" cm="1">
        <f t="array" ref="H231">SUMPRODUCT(Tracking[Amount],--(Tracking[Date]&lt;=Tracking[[#This Row],[Date]]),(Tracking[Type]&lt;&gt;"Income")*(-1)+(Tracking[Type]="Income"))</f>
        <v>377.12999999999971</v>
      </c>
      <c r="I231" s="51">
        <f>IF(AND(Tracking[[#This Row],[Type]]="Income",shift_late_income_status="Active",DAY(Tracking[[#This Row],[Date]])&gt;=shift_late_income_starting_day),DATE(YEAR(Tracking[[#This Row],[Date]]),MONTH(Tracking[[#This Row],[Date]])+1,1),Tracking[[#This Row],[Date]])</f>
        <v>45885</v>
      </c>
    </row>
    <row r="232" spans="3:9" hidden="1" x14ac:dyDescent="0.3">
      <c r="C232" s="41">
        <v>45886</v>
      </c>
      <c r="D232" s="39" t="s">
        <v>5</v>
      </c>
      <c r="E232" s="39" t="s">
        <v>104</v>
      </c>
      <c r="F232" s="139">
        <v>11.96</v>
      </c>
      <c r="G232" s="40"/>
      <c r="H232" s="43" cm="1">
        <f t="array" ref="H232">SUMPRODUCT(Tracking[Amount],--(Tracking[Date]&lt;=Tracking[[#This Row],[Date]]),(Tracking[Type]&lt;&gt;"Income")*(-1)+(Tracking[Type]="Income"))</f>
        <v>377.12999999999971</v>
      </c>
      <c r="I232" s="51">
        <f>IF(AND(Tracking[[#This Row],[Type]]="Income",shift_late_income_status="Active",DAY(Tracking[[#This Row],[Date]])&gt;=shift_late_income_starting_day),DATE(YEAR(Tracking[[#This Row],[Date]]),MONTH(Tracking[[#This Row],[Date]])+1,1),Tracking[[#This Row],[Date]])</f>
        <v>45886</v>
      </c>
    </row>
    <row r="233" spans="3:9" hidden="1" x14ac:dyDescent="0.3">
      <c r="C233" s="41">
        <v>45886</v>
      </c>
      <c r="D233" s="39" t="s">
        <v>14</v>
      </c>
      <c r="E233" s="39" t="s">
        <v>110</v>
      </c>
      <c r="F233" s="139">
        <v>11.96</v>
      </c>
      <c r="G233" s="40"/>
      <c r="H233" s="43" cm="1">
        <f t="array" ref="H233">SUMPRODUCT(Tracking[Amount],--(Tracking[Date]&lt;=Tracking[[#This Row],[Date]]),(Tracking[Type]&lt;&gt;"Income")*(-1)+(Tracking[Type]="Income"))</f>
        <v>377.12999999999971</v>
      </c>
      <c r="I233" s="51">
        <f>IF(AND(Tracking[[#This Row],[Type]]="Income",shift_late_income_status="Active",DAY(Tracking[[#This Row],[Date]])&gt;=shift_late_income_starting_day),DATE(YEAR(Tracking[[#This Row],[Date]]),MONTH(Tracking[[#This Row],[Date]])+1,1),Tracking[[#This Row],[Date]])</f>
        <v>45886</v>
      </c>
    </row>
    <row r="234" spans="3:9" hidden="1" x14ac:dyDescent="0.3">
      <c r="C234" s="41">
        <v>45888</v>
      </c>
      <c r="D234" s="39" t="s">
        <v>9</v>
      </c>
      <c r="E234" s="39" t="s">
        <v>12</v>
      </c>
      <c r="F234" s="139">
        <v>13.64</v>
      </c>
      <c r="G234" s="40" t="s">
        <v>182</v>
      </c>
      <c r="H234" s="43" cm="1">
        <f t="array" ref="H234">SUMPRODUCT(Tracking[Amount],--(Tracking[Date]&lt;=Tracking[[#This Row],[Date]]),(Tracking[Type]&lt;&gt;"Income")*(-1)+(Tracking[Type]="Income"))</f>
        <v>363.48999999999972</v>
      </c>
      <c r="I234" s="51">
        <f>IF(AND(Tracking[[#This Row],[Type]]="Income",shift_late_income_status="Active",DAY(Tracking[[#This Row],[Date]])&gt;=shift_late_income_starting_day),DATE(YEAR(Tracking[[#This Row],[Date]]),MONTH(Tracking[[#This Row],[Date]])+1,1),Tracking[[#This Row],[Date]])</f>
        <v>45888</v>
      </c>
    </row>
    <row r="235" spans="3:9" hidden="1" x14ac:dyDescent="0.3">
      <c r="C235" s="41">
        <v>45891</v>
      </c>
      <c r="D235" s="39" t="s">
        <v>9</v>
      </c>
      <c r="E235" s="39" t="s">
        <v>12</v>
      </c>
      <c r="F235" s="139">
        <v>18.39</v>
      </c>
      <c r="G235" s="40" t="s">
        <v>182</v>
      </c>
      <c r="H235" s="43" cm="1">
        <f t="array" ref="H235">SUMPRODUCT(Tracking[Amount],--(Tracking[Date]&lt;=Tracking[[#This Row],[Date]]),(Tracking[Type]&lt;&gt;"Income")*(-1)+(Tracking[Type]="Income"))</f>
        <v>1171.1599999999996</v>
      </c>
      <c r="I235" s="51">
        <f>IF(AND(Tracking[[#This Row],[Type]]="Income",shift_late_income_status="Active",DAY(Tracking[[#This Row],[Date]])&gt;=shift_late_income_starting_day),DATE(YEAR(Tracking[[#This Row],[Date]]),MONTH(Tracking[[#This Row],[Date]])+1,1),Tracking[[#This Row],[Date]])</f>
        <v>45891</v>
      </c>
    </row>
    <row r="236" spans="3:9" hidden="1" x14ac:dyDescent="0.3">
      <c r="C236" s="41">
        <v>45891</v>
      </c>
      <c r="D236" s="39" t="s">
        <v>5</v>
      </c>
      <c r="E236" s="39" t="s">
        <v>103</v>
      </c>
      <c r="F236" s="139">
        <v>1018.06</v>
      </c>
      <c r="G236" s="40"/>
      <c r="H236" s="43" cm="1">
        <f t="array" ref="H236">SUMPRODUCT(Tracking[Amount],--(Tracking[Date]&lt;=Tracking[[#This Row],[Date]]),(Tracking[Type]&lt;&gt;"Income")*(-1)+(Tracking[Type]="Income"))</f>
        <v>1171.1599999999996</v>
      </c>
      <c r="I236" s="51">
        <f>IF(AND(Tracking[[#This Row],[Type]]="Income",shift_late_income_status="Active",DAY(Tracking[[#This Row],[Date]])&gt;=shift_late_income_starting_day),DATE(YEAR(Tracking[[#This Row],[Date]]),MONTH(Tracking[[#This Row],[Date]])+1,1),Tracking[[#This Row],[Date]])</f>
        <v>45891</v>
      </c>
    </row>
    <row r="237" spans="3:9" hidden="1" x14ac:dyDescent="0.3">
      <c r="C237" s="41">
        <v>45891</v>
      </c>
      <c r="D237" s="39" t="s">
        <v>14</v>
      </c>
      <c r="E237" s="39" t="s">
        <v>157</v>
      </c>
      <c r="F237" s="139"/>
      <c r="G237" s="40"/>
      <c r="H237" s="43" cm="1">
        <f t="array" ref="H237">SUMPRODUCT(Tracking[Amount],--(Tracking[Date]&lt;=Tracking[[#This Row],[Date]]),(Tracking[Type]&lt;&gt;"Income")*(-1)+(Tracking[Type]="Income"))</f>
        <v>1171.1599999999996</v>
      </c>
      <c r="I237" s="51">
        <f>IF(AND(Tracking[[#This Row],[Type]]="Income",shift_late_income_status="Active",DAY(Tracking[[#This Row],[Date]])&gt;=shift_late_income_starting_day),DATE(YEAR(Tracking[[#This Row],[Date]]),MONTH(Tracking[[#This Row],[Date]])+1,1),Tracking[[#This Row],[Date]])</f>
        <v>45891</v>
      </c>
    </row>
    <row r="238" spans="3:9" hidden="1" x14ac:dyDescent="0.3">
      <c r="C238" s="41">
        <v>45891</v>
      </c>
      <c r="D238" s="39" t="s">
        <v>9</v>
      </c>
      <c r="E238" s="39" t="s">
        <v>10</v>
      </c>
      <c r="F238" s="139">
        <v>17</v>
      </c>
      <c r="G238" s="40" t="s">
        <v>184</v>
      </c>
      <c r="H238" s="43" cm="1">
        <f t="array" ref="H238">SUMPRODUCT(Tracking[Amount],--(Tracking[Date]&lt;=Tracking[[#This Row],[Date]]),(Tracking[Type]&lt;&gt;"Income")*(-1)+(Tracking[Type]="Income"))</f>
        <v>1171.1599999999996</v>
      </c>
      <c r="I238" s="51">
        <f>IF(AND(Tracking[[#This Row],[Type]]="Income",shift_late_income_status="Active",DAY(Tracking[[#This Row],[Date]])&gt;=shift_late_income_starting_day),DATE(YEAR(Tracking[[#This Row],[Date]]),MONTH(Tracking[[#This Row],[Date]])+1,1),Tracking[[#This Row],[Date]])</f>
        <v>45891</v>
      </c>
    </row>
    <row r="239" spans="3:9" hidden="1" x14ac:dyDescent="0.3">
      <c r="C239" s="41">
        <v>45891</v>
      </c>
      <c r="D239" s="39" t="s">
        <v>9</v>
      </c>
      <c r="E239" s="39" t="s">
        <v>111</v>
      </c>
      <c r="F239" s="139">
        <v>175</v>
      </c>
      <c r="G239" s="40" t="s">
        <v>231</v>
      </c>
      <c r="H239" s="43" cm="1">
        <f t="array" ref="H239">SUMPRODUCT(Tracking[Amount],--(Tracking[Date]&lt;=Tracking[[#This Row],[Date]]),(Tracking[Type]&lt;&gt;"Income")*(-1)+(Tracking[Type]="Income"))</f>
        <v>1171.1599999999996</v>
      </c>
      <c r="I239" s="51">
        <f>IF(AND(Tracking[[#This Row],[Type]]="Income",shift_late_income_status="Active",DAY(Tracking[[#This Row],[Date]])&gt;=shift_late_income_starting_day),DATE(YEAR(Tracking[[#This Row],[Date]]),MONTH(Tracking[[#This Row],[Date]])+1,1),Tracking[[#This Row],[Date]])</f>
        <v>45891</v>
      </c>
    </row>
    <row r="240" spans="3:9" hidden="1" x14ac:dyDescent="0.3">
      <c r="C240" s="41">
        <v>45892</v>
      </c>
      <c r="D240" s="39" t="s">
        <v>9</v>
      </c>
      <c r="E240" s="39" t="s">
        <v>10</v>
      </c>
      <c r="F240" s="139">
        <v>8.9700000000000006</v>
      </c>
      <c r="G240" s="40" t="s">
        <v>145</v>
      </c>
      <c r="H240" s="43" cm="1">
        <f t="array" ref="H240">SUMPRODUCT(Tracking[Amount],--(Tracking[Date]&lt;=Tracking[[#This Row],[Date]]),(Tracking[Type]&lt;&gt;"Income")*(-1)+(Tracking[Type]="Income"))</f>
        <v>1109.5299999999997</v>
      </c>
      <c r="I240" s="51">
        <f>IF(AND(Tracking[[#This Row],[Type]]="Income",shift_late_income_status="Active",DAY(Tracking[[#This Row],[Date]])&gt;=shift_late_income_starting_day),DATE(YEAR(Tracking[[#This Row],[Date]]),MONTH(Tracking[[#This Row],[Date]])+1,1),Tracking[[#This Row],[Date]])</f>
        <v>45892</v>
      </c>
    </row>
    <row r="241" spans="3:9" hidden="1" x14ac:dyDescent="0.3">
      <c r="C241" s="41">
        <v>45892</v>
      </c>
      <c r="D241" s="39" t="s">
        <v>9</v>
      </c>
      <c r="E241" s="39" t="s">
        <v>10</v>
      </c>
      <c r="F241" s="139">
        <v>4.54</v>
      </c>
      <c r="G241" s="40" t="s">
        <v>232</v>
      </c>
      <c r="H241" s="43" cm="1">
        <f t="array" ref="H241">SUMPRODUCT(Tracking[Amount],--(Tracking[Date]&lt;=Tracking[[#This Row],[Date]]),(Tracking[Type]&lt;&gt;"Income")*(-1)+(Tracking[Type]="Income"))</f>
        <v>1109.5299999999997</v>
      </c>
      <c r="I241" s="51">
        <f>IF(AND(Tracking[[#This Row],[Type]]="Income",shift_late_income_status="Active",DAY(Tracking[[#This Row],[Date]])&gt;=shift_late_income_starting_day),DATE(YEAR(Tracking[[#This Row],[Date]]),MONTH(Tracking[[#This Row],[Date]])+1,1),Tracking[[#This Row],[Date]])</f>
        <v>45892</v>
      </c>
    </row>
    <row r="242" spans="3:9" hidden="1" x14ac:dyDescent="0.3">
      <c r="C242" s="41">
        <v>45892</v>
      </c>
      <c r="D242" s="39" t="s">
        <v>9</v>
      </c>
      <c r="E242" s="39" t="s">
        <v>111</v>
      </c>
      <c r="F242" s="139">
        <v>43.5</v>
      </c>
      <c r="G242" s="40" t="s">
        <v>233</v>
      </c>
      <c r="H242" s="43" cm="1">
        <f t="array" ref="H242">SUMPRODUCT(Tracking[Amount],--(Tracking[Date]&lt;=Tracking[[#This Row],[Date]]),(Tracking[Type]&lt;&gt;"Income")*(-1)+(Tracking[Type]="Income"))</f>
        <v>1109.5299999999997</v>
      </c>
      <c r="I242" s="51">
        <f>IF(AND(Tracking[[#This Row],[Type]]="Income",shift_late_income_status="Active",DAY(Tracking[[#This Row],[Date]])&gt;=shift_late_income_starting_day),DATE(YEAR(Tracking[[#This Row],[Date]]),MONTH(Tracking[[#This Row],[Date]])+1,1),Tracking[[#This Row],[Date]])</f>
        <v>45892</v>
      </c>
    </row>
    <row r="243" spans="3:9" hidden="1" x14ac:dyDescent="0.3">
      <c r="C243" s="41">
        <v>45892</v>
      </c>
      <c r="D243" s="39" t="s">
        <v>9</v>
      </c>
      <c r="E243" s="39" t="s">
        <v>111</v>
      </c>
      <c r="F243" s="139">
        <v>4.62</v>
      </c>
      <c r="G243" s="40" t="s">
        <v>125</v>
      </c>
      <c r="H243" s="43" cm="1">
        <f t="array" ref="H243">SUMPRODUCT(Tracking[Amount],--(Tracking[Date]&lt;=Tracking[[#This Row],[Date]]),(Tracking[Type]&lt;&gt;"Income")*(-1)+(Tracking[Type]="Income"))</f>
        <v>1109.5299999999997</v>
      </c>
      <c r="I243" s="51">
        <f>IF(AND(Tracking[[#This Row],[Type]]="Income",shift_late_income_status="Active",DAY(Tracking[[#This Row],[Date]])&gt;=shift_late_income_starting_day),DATE(YEAR(Tracking[[#This Row],[Date]]),MONTH(Tracking[[#This Row],[Date]])+1,1),Tracking[[#This Row],[Date]])</f>
        <v>45892</v>
      </c>
    </row>
    <row r="244" spans="3:9" hidden="1" x14ac:dyDescent="0.3">
      <c r="C244" s="41">
        <v>45893</v>
      </c>
      <c r="D244" s="39" t="s">
        <v>9</v>
      </c>
      <c r="E244" s="39" t="s">
        <v>10</v>
      </c>
      <c r="F244" s="139">
        <v>25.15</v>
      </c>
      <c r="G244" s="40" t="s">
        <v>177</v>
      </c>
      <c r="H244" s="43" cm="1">
        <f t="array" ref="H244">SUMPRODUCT(Tracking[Amount],--(Tracking[Date]&lt;=Tracking[[#This Row],[Date]]),(Tracking[Type]&lt;&gt;"Income")*(-1)+(Tracking[Type]="Income"))</f>
        <v>1084.3799999999997</v>
      </c>
      <c r="I244" s="51">
        <f>IF(AND(Tracking[[#This Row],[Type]]="Income",shift_late_income_status="Active",DAY(Tracking[[#This Row],[Date]])&gt;=shift_late_income_starting_day),DATE(YEAR(Tracking[[#This Row],[Date]]),MONTH(Tracking[[#This Row],[Date]])+1,1),Tracking[[#This Row],[Date]])</f>
        <v>45893</v>
      </c>
    </row>
    <row r="245" spans="3:9" hidden="1" x14ac:dyDescent="0.3">
      <c r="C245" s="41">
        <v>45894</v>
      </c>
      <c r="D245" s="39" t="s">
        <v>9</v>
      </c>
      <c r="E245" s="39" t="s">
        <v>166</v>
      </c>
      <c r="F245" s="139">
        <v>37.94</v>
      </c>
      <c r="G245" s="40" t="s">
        <v>234</v>
      </c>
      <c r="H245" s="43" cm="1">
        <f t="array" ref="H245">SUMPRODUCT(Tracking[Amount],--(Tracking[Date]&lt;=Tracking[[#This Row],[Date]]),(Tracking[Type]&lt;&gt;"Income")*(-1)+(Tracking[Type]="Income"))</f>
        <v>1246.4399999999996</v>
      </c>
      <c r="I245" s="51">
        <f>IF(AND(Tracking[[#This Row],[Type]]="Income",shift_late_income_status="Active",DAY(Tracking[[#This Row],[Date]])&gt;=shift_late_income_starting_day),DATE(YEAR(Tracking[[#This Row],[Date]]),MONTH(Tracking[[#This Row],[Date]])+1,1),Tracking[[#This Row],[Date]])</f>
        <v>45894</v>
      </c>
    </row>
    <row r="246" spans="3:9" hidden="1" x14ac:dyDescent="0.3">
      <c r="C246" s="41">
        <v>45894</v>
      </c>
      <c r="D246" s="39" t="s">
        <v>5</v>
      </c>
      <c r="E246" s="39" t="s">
        <v>106</v>
      </c>
      <c r="F246" s="139">
        <v>200</v>
      </c>
      <c r="G246" s="40"/>
      <c r="H246" s="43" cm="1">
        <f t="array" ref="H246">SUMPRODUCT(Tracking[Amount],--(Tracking[Date]&lt;=Tracking[[#This Row],[Date]]),(Tracking[Type]&lt;&gt;"Income")*(-1)+(Tracking[Type]="Income"))</f>
        <v>1246.4399999999996</v>
      </c>
      <c r="I246" s="51">
        <f>IF(AND(Tracking[[#This Row],[Type]]="Income",shift_late_income_status="Active",DAY(Tracking[[#This Row],[Date]])&gt;=shift_late_income_starting_day),DATE(YEAR(Tracking[[#This Row],[Date]]),MONTH(Tracking[[#This Row],[Date]])+1,1),Tracking[[#This Row],[Date]])</f>
        <v>45901</v>
      </c>
    </row>
    <row r="247" spans="3:9" hidden="1" x14ac:dyDescent="0.3">
      <c r="C247" s="41">
        <v>45895</v>
      </c>
      <c r="D247" s="39" t="s">
        <v>9</v>
      </c>
      <c r="E247" s="39" t="s">
        <v>10</v>
      </c>
      <c r="F247" s="139">
        <v>15.35</v>
      </c>
      <c r="G247" s="40" t="s">
        <v>145</v>
      </c>
      <c r="H247" s="43" cm="1">
        <f t="array" ref="H247">SUMPRODUCT(Tracking[Amount],--(Tracking[Date]&lt;=Tracking[[#This Row],[Date]]),(Tracking[Type]&lt;&gt;"Income")*(-1)+(Tracking[Type]="Income"))</f>
        <v>1231.0899999999997</v>
      </c>
      <c r="I247" s="51">
        <f>IF(AND(Tracking[[#This Row],[Type]]="Income",shift_late_income_status="Active",DAY(Tracking[[#This Row],[Date]])&gt;=shift_late_income_starting_day),DATE(YEAR(Tracking[[#This Row],[Date]]),MONTH(Tracking[[#This Row],[Date]])+1,1),Tracking[[#This Row],[Date]])</f>
        <v>45895</v>
      </c>
    </row>
    <row r="248" spans="3:9" hidden="1" x14ac:dyDescent="0.3">
      <c r="C248" s="41">
        <v>45898</v>
      </c>
      <c r="D248" s="39" t="s">
        <v>9</v>
      </c>
      <c r="E248" s="39" t="s">
        <v>236</v>
      </c>
      <c r="F248" s="139">
        <v>6.92</v>
      </c>
      <c r="G248" s="40" t="s">
        <v>237</v>
      </c>
      <c r="H248" s="43" cm="1">
        <f t="array" ref="H248">SUMPRODUCT(Tracking[Amount],--(Tracking[Date]&lt;=Tracking[[#This Row],[Date]]),(Tracking[Type]&lt;&gt;"Income")*(-1)+(Tracking[Type]="Income"))</f>
        <v>1062.7899999999997</v>
      </c>
      <c r="I248" s="51">
        <f>IF(AND(Tracking[[#This Row],[Type]]="Income",shift_late_income_status="Active",DAY(Tracking[[#This Row],[Date]])&gt;=shift_late_income_starting_day),DATE(YEAR(Tracking[[#This Row],[Date]]),MONTH(Tracking[[#This Row],[Date]])+1,1),Tracking[[#This Row],[Date]])</f>
        <v>45898</v>
      </c>
    </row>
    <row r="249" spans="3:9" hidden="1" x14ac:dyDescent="0.3">
      <c r="C249" s="41">
        <v>45898</v>
      </c>
      <c r="D249" s="39" t="s">
        <v>9</v>
      </c>
      <c r="E249" s="39" t="s">
        <v>12</v>
      </c>
      <c r="F249" s="139">
        <v>8.11</v>
      </c>
      <c r="G249" s="40" t="s">
        <v>238</v>
      </c>
      <c r="H249" s="43" cm="1">
        <f t="array" ref="H249">SUMPRODUCT(Tracking[Amount],--(Tracking[Date]&lt;=Tracking[[#This Row],[Date]]),(Tracking[Type]&lt;&gt;"Income")*(-1)+(Tracking[Type]="Income"))</f>
        <v>1062.7899999999997</v>
      </c>
      <c r="I249" s="51">
        <f>IF(AND(Tracking[[#This Row],[Type]]="Income",shift_late_income_status="Active",DAY(Tracking[[#This Row],[Date]])&gt;=shift_late_income_starting_day),DATE(YEAR(Tracking[[#This Row],[Date]]),MONTH(Tracking[[#This Row],[Date]])+1,1),Tracking[[#This Row],[Date]])</f>
        <v>45898</v>
      </c>
    </row>
    <row r="250" spans="3:9" hidden="1" x14ac:dyDescent="0.3">
      <c r="C250" s="41">
        <v>45898</v>
      </c>
      <c r="D250" s="39" t="s">
        <v>9</v>
      </c>
      <c r="E250" s="39" t="s">
        <v>236</v>
      </c>
      <c r="F250" s="139">
        <v>10.02</v>
      </c>
      <c r="G250" s="40"/>
      <c r="H250" s="43" cm="1">
        <f t="array" ref="H250">SUMPRODUCT(Tracking[Amount],--(Tracking[Date]&lt;=Tracking[[#This Row],[Date]]),(Tracking[Type]&lt;&gt;"Income")*(-1)+(Tracking[Type]="Income"))</f>
        <v>1062.7899999999997</v>
      </c>
      <c r="I250" s="51">
        <f>IF(AND(Tracking[[#This Row],[Type]]="Income",shift_late_income_status="Active",DAY(Tracking[[#This Row],[Date]])&gt;=shift_late_income_starting_day),DATE(YEAR(Tracking[[#This Row],[Date]]),MONTH(Tracking[[#This Row],[Date]])+1,1),Tracking[[#This Row],[Date]])</f>
        <v>45898</v>
      </c>
    </row>
    <row r="251" spans="3:9" hidden="1" x14ac:dyDescent="0.3">
      <c r="C251" s="41">
        <v>45898</v>
      </c>
      <c r="D251" s="39" t="s">
        <v>9</v>
      </c>
      <c r="E251" s="39" t="s">
        <v>236</v>
      </c>
      <c r="F251" s="139">
        <v>23.68</v>
      </c>
      <c r="G251" s="40" t="s">
        <v>239</v>
      </c>
      <c r="H251" s="43" cm="1">
        <f t="array" ref="H251">SUMPRODUCT(Tracking[Amount],--(Tracking[Date]&lt;=Tracking[[#This Row],[Date]]),(Tracking[Type]&lt;&gt;"Income")*(-1)+(Tracking[Type]="Income"))</f>
        <v>1062.7899999999997</v>
      </c>
      <c r="I251" s="51">
        <f>IF(AND(Tracking[[#This Row],[Type]]="Income",shift_late_income_status="Active",DAY(Tracking[[#This Row],[Date]])&gt;=shift_late_income_starting_day),DATE(YEAR(Tracking[[#This Row],[Date]]),MONTH(Tracking[[#This Row],[Date]])+1,1),Tracking[[#This Row],[Date]])</f>
        <v>45898</v>
      </c>
    </row>
    <row r="252" spans="3:9" hidden="1" x14ac:dyDescent="0.3">
      <c r="C252" s="41">
        <v>45898</v>
      </c>
      <c r="D252" s="39" t="s">
        <v>9</v>
      </c>
      <c r="E252" s="39" t="s">
        <v>236</v>
      </c>
      <c r="F252" s="139">
        <v>28</v>
      </c>
      <c r="G252" s="40"/>
      <c r="H252" s="43" cm="1">
        <f t="array" ref="H252">SUMPRODUCT(Tracking[Amount],--(Tracking[Date]&lt;=Tracking[[#This Row],[Date]]),(Tracking[Type]&lt;&gt;"Income")*(-1)+(Tracking[Type]="Income"))</f>
        <v>1062.7899999999997</v>
      </c>
      <c r="I252" s="51">
        <f>IF(AND(Tracking[[#This Row],[Type]]="Income",shift_late_income_status="Active",DAY(Tracking[[#This Row],[Date]])&gt;=shift_late_income_starting_day),DATE(YEAR(Tracking[[#This Row],[Date]]),MONTH(Tracking[[#This Row],[Date]])+1,1),Tracking[[#This Row],[Date]])</f>
        <v>45898</v>
      </c>
    </row>
    <row r="253" spans="3:9" hidden="1" x14ac:dyDescent="0.3">
      <c r="C253" s="41">
        <v>45898</v>
      </c>
      <c r="D253" s="39" t="s">
        <v>9</v>
      </c>
      <c r="E253" s="39" t="s">
        <v>236</v>
      </c>
      <c r="F253" s="139">
        <v>78</v>
      </c>
      <c r="G253" s="40"/>
      <c r="H253" s="43" cm="1">
        <f t="array" ref="H253">SUMPRODUCT(Tracking[Amount],--(Tracking[Date]&lt;=Tracking[[#This Row],[Date]]),(Tracking[Type]&lt;&gt;"Income")*(-1)+(Tracking[Type]="Income"))</f>
        <v>1062.7899999999997</v>
      </c>
      <c r="I253" s="51">
        <f>IF(AND(Tracking[[#This Row],[Type]]="Income",shift_late_income_status="Active",DAY(Tracking[[#This Row],[Date]])&gt;=shift_late_income_starting_day),DATE(YEAR(Tracking[[#This Row],[Date]]),MONTH(Tracking[[#This Row],[Date]])+1,1),Tracking[[#This Row],[Date]])</f>
        <v>45898</v>
      </c>
    </row>
    <row r="254" spans="3:9" hidden="1" x14ac:dyDescent="0.3">
      <c r="C254" s="41">
        <v>45898</v>
      </c>
      <c r="D254" s="39" t="s">
        <v>9</v>
      </c>
      <c r="E254" s="39" t="s">
        <v>236</v>
      </c>
      <c r="F254" s="139">
        <v>4</v>
      </c>
      <c r="G254" s="40"/>
      <c r="H254" s="43" cm="1">
        <f t="array" ref="H254">SUMPRODUCT(Tracking[Amount],--(Tracking[Date]&lt;=Tracking[[#This Row],[Date]]),(Tracking[Type]&lt;&gt;"Income")*(-1)+(Tracking[Type]="Income"))</f>
        <v>1062.7899999999997</v>
      </c>
      <c r="I254" s="51">
        <f>IF(AND(Tracking[[#This Row],[Type]]="Income",shift_late_income_status="Active",DAY(Tracking[[#This Row],[Date]])&gt;=shift_late_income_starting_day),DATE(YEAR(Tracking[[#This Row],[Date]]),MONTH(Tracking[[#This Row],[Date]])+1,1),Tracking[[#This Row],[Date]])</f>
        <v>45898</v>
      </c>
    </row>
    <row r="255" spans="3:9" hidden="1" x14ac:dyDescent="0.3">
      <c r="C255" s="41">
        <v>45898</v>
      </c>
      <c r="D255" s="39" t="s">
        <v>9</v>
      </c>
      <c r="E255" s="39" t="s">
        <v>236</v>
      </c>
      <c r="F255" s="139">
        <v>9.57</v>
      </c>
      <c r="G255" s="40"/>
      <c r="H255" s="43" cm="1">
        <f t="array" ref="H255">SUMPRODUCT(Tracking[Amount],--(Tracking[Date]&lt;=Tracking[[#This Row],[Date]]),(Tracking[Type]&lt;&gt;"Income")*(-1)+(Tracking[Type]="Income"))</f>
        <v>1062.7899999999997</v>
      </c>
      <c r="I255" s="51">
        <f>IF(AND(Tracking[[#This Row],[Type]]="Income",shift_late_income_status="Active",DAY(Tracking[[#This Row],[Date]])&gt;=shift_late_income_starting_day),DATE(YEAR(Tracking[[#This Row],[Date]]),MONTH(Tracking[[#This Row],[Date]])+1,1),Tracking[[#This Row],[Date]])</f>
        <v>45898</v>
      </c>
    </row>
    <row r="256" spans="3:9" hidden="1" x14ac:dyDescent="0.3">
      <c r="C256" s="41">
        <v>45899</v>
      </c>
      <c r="D256" s="39" t="s">
        <v>9</v>
      </c>
      <c r="E256" s="39" t="s">
        <v>236</v>
      </c>
      <c r="F256" s="139">
        <v>10</v>
      </c>
      <c r="G256" s="40"/>
      <c r="H256" s="43" cm="1">
        <f t="array" ref="H256">SUMPRODUCT(Tracking[Amount],--(Tracking[Date]&lt;=Tracking[[#This Row],[Date]]),(Tracking[Type]&lt;&gt;"Income")*(-1)+(Tracking[Type]="Income"))</f>
        <v>929.34999999999968</v>
      </c>
      <c r="I256" s="51">
        <f>IF(AND(Tracking[[#This Row],[Type]]="Income",shift_late_income_status="Active",DAY(Tracking[[#This Row],[Date]])&gt;=shift_late_income_starting_day),DATE(YEAR(Tracking[[#This Row],[Date]]),MONTH(Tracking[[#This Row],[Date]])+1,1),Tracking[[#This Row],[Date]])</f>
        <v>45899</v>
      </c>
    </row>
    <row r="257" spans="3:9" hidden="1" x14ac:dyDescent="0.3">
      <c r="C257" s="41">
        <v>45899</v>
      </c>
      <c r="D257" s="39" t="s">
        <v>9</v>
      </c>
      <c r="E257" s="39" t="s">
        <v>236</v>
      </c>
      <c r="F257" s="139">
        <v>32.200000000000003</v>
      </c>
      <c r="G257" s="40" t="s">
        <v>240</v>
      </c>
      <c r="H257" s="43" cm="1">
        <f t="array" ref="H257">SUMPRODUCT(Tracking[Amount],--(Tracking[Date]&lt;=Tracking[[#This Row],[Date]]),(Tracking[Type]&lt;&gt;"Income")*(-1)+(Tracking[Type]="Income"))</f>
        <v>929.34999999999968</v>
      </c>
      <c r="I257" s="51">
        <f>IF(AND(Tracking[[#This Row],[Type]]="Income",shift_late_income_status="Active",DAY(Tracking[[#This Row],[Date]])&gt;=shift_late_income_starting_day),DATE(YEAR(Tracking[[#This Row],[Date]]),MONTH(Tracking[[#This Row],[Date]])+1,1),Tracking[[#This Row],[Date]])</f>
        <v>45899</v>
      </c>
    </row>
    <row r="258" spans="3:9" hidden="1" x14ac:dyDescent="0.3">
      <c r="C258" s="41">
        <v>45899</v>
      </c>
      <c r="D258" s="39" t="s">
        <v>9</v>
      </c>
      <c r="E258" s="39" t="s">
        <v>236</v>
      </c>
      <c r="F258" s="139">
        <v>10</v>
      </c>
      <c r="G258" s="40" t="s">
        <v>125</v>
      </c>
      <c r="H258" s="43" cm="1">
        <f t="array" ref="H258">SUMPRODUCT(Tracking[Amount],--(Tracking[Date]&lt;=Tracking[[#This Row],[Date]]),(Tracking[Type]&lt;&gt;"Income")*(-1)+(Tracking[Type]="Income"))</f>
        <v>929.34999999999968</v>
      </c>
      <c r="I258" s="51">
        <f>IF(AND(Tracking[[#This Row],[Type]]="Income",shift_late_income_status="Active",DAY(Tracking[[#This Row],[Date]])&gt;=shift_late_income_starting_day),DATE(YEAR(Tracking[[#This Row],[Date]]),MONTH(Tracking[[#This Row],[Date]])+1,1),Tracking[[#This Row],[Date]])</f>
        <v>45899</v>
      </c>
    </row>
    <row r="259" spans="3:9" hidden="1" x14ac:dyDescent="0.3">
      <c r="C259" s="41">
        <v>45899</v>
      </c>
      <c r="D259" s="39" t="s">
        <v>9</v>
      </c>
      <c r="E259" s="39" t="s">
        <v>236</v>
      </c>
      <c r="F259" s="139">
        <v>17.3</v>
      </c>
      <c r="G259" s="40" t="s">
        <v>241</v>
      </c>
      <c r="H259" s="43" cm="1">
        <f t="array" ref="H259">SUMPRODUCT(Tracking[Amount],--(Tracking[Date]&lt;=Tracking[[#This Row],[Date]]),(Tracking[Type]&lt;&gt;"Income")*(-1)+(Tracking[Type]="Income"))</f>
        <v>929.34999999999968</v>
      </c>
      <c r="I259" s="51">
        <f>IF(AND(Tracking[[#This Row],[Type]]="Income",shift_late_income_status="Active",DAY(Tracking[[#This Row],[Date]])&gt;=shift_late_income_starting_day),DATE(YEAR(Tracking[[#This Row],[Date]]),MONTH(Tracking[[#This Row],[Date]])+1,1),Tracking[[#This Row],[Date]])</f>
        <v>45899</v>
      </c>
    </row>
    <row r="260" spans="3:9" hidden="1" x14ac:dyDescent="0.3">
      <c r="C260" s="41">
        <v>45899</v>
      </c>
      <c r="D260" s="39" t="s">
        <v>9</v>
      </c>
      <c r="E260" s="39" t="s">
        <v>236</v>
      </c>
      <c r="F260" s="139">
        <v>24.45</v>
      </c>
      <c r="G260" s="40" t="s">
        <v>242</v>
      </c>
      <c r="H260" s="43" cm="1">
        <f t="array" ref="H260">SUMPRODUCT(Tracking[Amount],--(Tracking[Date]&lt;=Tracking[[#This Row],[Date]]),(Tracking[Type]&lt;&gt;"Income")*(-1)+(Tracking[Type]="Income"))</f>
        <v>929.34999999999968</v>
      </c>
      <c r="I260" s="51">
        <f>IF(AND(Tracking[[#This Row],[Type]]="Income",shift_late_income_status="Active",DAY(Tracking[[#This Row],[Date]])&gt;=shift_late_income_starting_day),DATE(YEAR(Tracking[[#This Row],[Date]]),MONTH(Tracking[[#This Row],[Date]])+1,1),Tracking[[#This Row],[Date]])</f>
        <v>45899</v>
      </c>
    </row>
    <row r="261" spans="3:9" hidden="1" x14ac:dyDescent="0.3">
      <c r="C261" s="41">
        <v>45899</v>
      </c>
      <c r="D261" s="39" t="s">
        <v>9</v>
      </c>
      <c r="E261" s="39" t="s">
        <v>108</v>
      </c>
      <c r="F261" s="139">
        <v>39.49</v>
      </c>
      <c r="G261" s="40" t="s">
        <v>243</v>
      </c>
      <c r="H261" s="43" cm="1">
        <f t="array" ref="H261">SUMPRODUCT(Tracking[Amount],--(Tracking[Date]&lt;=Tracking[[#This Row],[Date]]),(Tracking[Type]&lt;&gt;"Income")*(-1)+(Tracking[Type]="Income"))</f>
        <v>929.34999999999968</v>
      </c>
      <c r="I261" s="51">
        <f>IF(AND(Tracking[[#This Row],[Type]]="Income",shift_late_income_status="Active",DAY(Tracking[[#This Row],[Date]])&gt;=shift_late_income_starting_day),DATE(YEAR(Tracking[[#This Row],[Date]]),MONTH(Tracking[[#This Row],[Date]])+1,1),Tracking[[#This Row],[Date]])</f>
        <v>45899</v>
      </c>
    </row>
    <row r="262" spans="3:9" hidden="1" x14ac:dyDescent="0.3">
      <c r="C262" s="41">
        <v>45900</v>
      </c>
      <c r="D262" s="39" t="s">
        <v>9</v>
      </c>
      <c r="E262" s="39" t="s">
        <v>236</v>
      </c>
      <c r="F262" s="139">
        <v>4.6900000000000004</v>
      </c>
      <c r="G262" s="40"/>
      <c r="H262" s="43" cm="1">
        <f t="array" ref="H262">SUMPRODUCT(Tracking[Amount],--(Tracking[Date]&lt;=Tracking[[#This Row],[Date]]),(Tracking[Type]&lt;&gt;"Income")*(-1)+(Tracking[Type]="Income"))</f>
        <v>883.92999999999972</v>
      </c>
      <c r="I262" s="51">
        <f>IF(AND(Tracking[[#This Row],[Type]]="Income",shift_late_income_status="Active",DAY(Tracking[[#This Row],[Date]])&gt;=shift_late_income_starting_day),DATE(YEAR(Tracking[[#This Row],[Date]]),MONTH(Tracking[[#This Row],[Date]])+1,1),Tracking[[#This Row],[Date]])</f>
        <v>45900</v>
      </c>
    </row>
    <row r="263" spans="3:9" hidden="1" x14ac:dyDescent="0.3">
      <c r="C263" s="41">
        <v>45900</v>
      </c>
      <c r="D263" s="39" t="s">
        <v>9</v>
      </c>
      <c r="E263" s="39" t="s">
        <v>236</v>
      </c>
      <c r="F263" s="139">
        <v>25</v>
      </c>
      <c r="G263" s="40" t="s">
        <v>245</v>
      </c>
      <c r="H263" s="43" cm="1">
        <f t="array" ref="H263">SUMPRODUCT(Tracking[Amount],--(Tracking[Date]&lt;=Tracking[[#This Row],[Date]]),(Tracking[Type]&lt;&gt;"Income")*(-1)+(Tracking[Type]="Income"))</f>
        <v>883.92999999999972</v>
      </c>
      <c r="I263" s="51">
        <f>IF(AND(Tracking[[#This Row],[Type]]="Income",shift_late_income_status="Active",DAY(Tracking[[#This Row],[Date]])&gt;=shift_late_income_starting_day),DATE(YEAR(Tracking[[#This Row],[Date]]),MONTH(Tracking[[#This Row],[Date]])+1,1),Tracking[[#This Row],[Date]])</f>
        <v>45900</v>
      </c>
    </row>
    <row r="264" spans="3:9" hidden="1" x14ac:dyDescent="0.3">
      <c r="C264" s="41">
        <v>45900</v>
      </c>
      <c r="D264" s="39" t="s">
        <v>9</v>
      </c>
      <c r="E264" s="39" t="s">
        <v>236</v>
      </c>
      <c r="F264" s="139">
        <v>11.8</v>
      </c>
      <c r="G264" s="40"/>
      <c r="H264" s="43" cm="1">
        <f t="array" ref="H264">SUMPRODUCT(Tracking[Amount],--(Tracking[Date]&lt;=Tracking[[#This Row],[Date]]),(Tracking[Type]&lt;&gt;"Income")*(-1)+(Tracking[Type]="Income"))</f>
        <v>883.92999999999972</v>
      </c>
      <c r="I264" s="51">
        <f>IF(AND(Tracking[[#This Row],[Type]]="Income",shift_late_income_status="Active",DAY(Tracking[[#This Row],[Date]])&gt;=shift_late_income_starting_day),DATE(YEAR(Tracking[[#This Row],[Date]]),MONTH(Tracking[[#This Row],[Date]])+1,1),Tracking[[#This Row],[Date]])</f>
        <v>45900</v>
      </c>
    </row>
    <row r="265" spans="3:9" hidden="1" x14ac:dyDescent="0.3">
      <c r="C265" s="41">
        <v>45900</v>
      </c>
      <c r="D265" s="39" t="s">
        <v>9</v>
      </c>
      <c r="E265" s="39" t="s">
        <v>236</v>
      </c>
      <c r="F265" s="139">
        <v>3.93</v>
      </c>
      <c r="G265" s="40" t="s">
        <v>247</v>
      </c>
      <c r="H265" s="43" cm="1">
        <f t="array" ref="H265">SUMPRODUCT(Tracking[Amount],--(Tracking[Date]&lt;=Tracking[[#This Row],[Date]]),(Tracking[Type]&lt;&gt;"Income")*(-1)+(Tracking[Type]="Income"))</f>
        <v>883.92999999999972</v>
      </c>
      <c r="I265" s="51">
        <f>IF(AND(Tracking[[#This Row],[Type]]="Income",shift_late_income_status="Active",DAY(Tracking[[#This Row],[Date]])&gt;=shift_late_income_starting_day),DATE(YEAR(Tracking[[#This Row],[Date]]),MONTH(Tracking[[#This Row],[Date]])+1,1),Tracking[[#This Row],[Date]])</f>
        <v>45900</v>
      </c>
    </row>
    <row r="266" spans="3:9" hidden="1" x14ac:dyDescent="0.3">
      <c r="C266" s="41">
        <v>45901</v>
      </c>
      <c r="D266" s="39" t="s">
        <v>14</v>
      </c>
      <c r="E266" s="39" t="s">
        <v>157</v>
      </c>
      <c r="F266" s="139">
        <v>200</v>
      </c>
      <c r="G266" s="40"/>
      <c r="H266" s="43" cm="1">
        <f t="array" ref="H266">SUMPRODUCT(Tracking[Amount],--(Tracking[Date]&lt;=Tracking[[#This Row],[Date]]),(Tracking[Type]&lt;&gt;"Income")*(-1)+(Tracking[Type]="Income"))</f>
        <v>661.99999999999966</v>
      </c>
      <c r="I266" s="51">
        <f>IF(AND(Tracking[[#This Row],[Type]]="Income",shift_late_income_status="Active",DAY(Tracking[[#This Row],[Date]])&gt;=shift_late_income_starting_day),DATE(YEAR(Tracking[[#This Row],[Date]]),MONTH(Tracking[[#This Row],[Date]])+1,1),Tracking[[#This Row],[Date]])</f>
        <v>45901</v>
      </c>
    </row>
    <row r="267" spans="3:9" hidden="1" x14ac:dyDescent="0.3">
      <c r="C267" s="41">
        <v>45901</v>
      </c>
      <c r="D267" s="39" t="s">
        <v>9</v>
      </c>
      <c r="E267" s="39" t="s">
        <v>236</v>
      </c>
      <c r="F267" s="139">
        <v>16.190000000000001</v>
      </c>
      <c r="G267" s="40" t="s">
        <v>244</v>
      </c>
      <c r="H267" s="43" cm="1">
        <f t="array" ref="H267">SUMPRODUCT(Tracking[Amount],--(Tracking[Date]&lt;=Tracking[[#This Row],[Date]]),(Tracking[Type]&lt;&gt;"Income")*(-1)+(Tracking[Type]="Income"))</f>
        <v>661.99999999999966</v>
      </c>
      <c r="I267" s="51">
        <f>IF(AND(Tracking[[#This Row],[Type]]="Income",shift_late_income_status="Active",DAY(Tracking[[#This Row],[Date]])&gt;=shift_late_income_starting_day),DATE(YEAR(Tracking[[#This Row],[Date]]),MONTH(Tracking[[#This Row],[Date]])+1,1),Tracking[[#This Row],[Date]])</f>
        <v>45901</v>
      </c>
    </row>
    <row r="268" spans="3:9" hidden="1" x14ac:dyDescent="0.3">
      <c r="C268" s="41">
        <v>45901</v>
      </c>
      <c r="D268" s="39" t="s">
        <v>9</v>
      </c>
      <c r="E268" s="39" t="s">
        <v>236</v>
      </c>
      <c r="F268" s="139">
        <v>5.74</v>
      </c>
      <c r="G268" s="40" t="s">
        <v>246</v>
      </c>
      <c r="H268" s="43" cm="1">
        <f t="array" ref="H268">SUMPRODUCT(Tracking[Amount],--(Tracking[Date]&lt;=Tracking[[#This Row],[Date]]),(Tracking[Type]&lt;&gt;"Income")*(-1)+(Tracking[Type]="Income"))</f>
        <v>661.99999999999966</v>
      </c>
      <c r="I268" s="51">
        <f>IF(AND(Tracking[[#This Row],[Type]]="Income",shift_late_income_status="Active",DAY(Tracking[[#This Row],[Date]])&gt;=shift_late_income_starting_day),DATE(YEAR(Tracking[[#This Row],[Date]]),MONTH(Tracking[[#This Row],[Date]])+1,1),Tracking[[#This Row],[Date]])</f>
        <v>45901</v>
      </c>
    </row>
    <row r="269" spans="3:9" hidden="1" x14ac:dyDescent="0.3">
      <c r="C269" s="41">
        <v>45904</v>
      </c>
      <c r="D269" s="39" t="s">
        <v>9</v>
      </c>
      <c r="E269" s="39" t="s">
        <v>10</v>
      </c>
      <c r="F269" s="139">
        <v>22.81</v>
      </c>
      <c r="G269" s="40" t="s">
        <v>248</v>
      </c>
      <c r="H269" s="43" cm="1">
        <f t="array" ref="H269">SUMPRODUCT(Tracking[Amount],--(Tracking[Date]&lt;=Tracking[[#This Row],[Date]]),(Tracking[Type]&lt;&gt;"Income")*(-1)+(Tracking[Type]="Income"))</f>
        <v>1442.6999999999998</v>
      </c>
      <c r="I269" s="51">
        <f>IF(AND(Tracking[[#This Row],[Type]]="Income",shift_late_income_status="Active",DAY(Tracking[[#This Row],[Date]])&gt;=shift_late_income_starting_day),DATE(YEAR(Tracking[[#This Row],[Date]]),MONTH(Tracking[[#This Row],[Date]])+1,1),Tracking[[#This Row],[Date]])</f>
        <v>45904</v>
      </c>
    </row>
    <row r="270" spans="3:9" hidden="1" x14ac:dyDescent="0.3">
      <c r="C270" s="41">
        <v>45904</v>
      </c>
      <c r="D270" s="39" t="s">
        <v>5</v>
      </c>
      <c r="E270" s="39" t="s">
        <v>103</v>
      </c>
      <c r="F270" s="139">
        <v>834.51</v>
      </c>
      <c r="G270" s="40"/>
      <c r="H270" s="43" cm="1">
        <f t="array" ref="H270">SUMPRODUCT(Tracking[Amount],--(Tracking[Date]&lt;=Tracking[[#This Row],[Date]]),(Tracking[Type]&lt;&gt;"Income")*(-1)+(Tracking[Type]="Income"))</f>
        <v>1442.6999999999998</v>
      </c>
      <c r="I270" s="51">
        <f>IF(AND(Tracking[[#This Row],[Type]]="Income",shift_late_income_status="Active",DAY(Tracking[[#This Row],[Date]])&gt;=shift_late_income_starting_day),DATE(YEAR(Tracking[[#This Row],[Date]]),MONTH(Tracking[[#This Row],[Date]])+1,1),Tracking[[#This Row],[Date]])</f>
        <v>45904</v>
      </c>
    </row>
    <row r="271" spans="3:9" hidden="1" x14ac:dyDescent="0.3">
      <c r="C271" s="41">
        <v>45904</v>
      </c>
      <c r="D271" s="39" t="s">
        <v>9</v>
      </c>
      <c r="E271" s="39" t="s">
        <v>10</v>
      </c>
      <c r="F271" s="139">
        <v>31</v>
      </c>
      <c r="G271" s="40" t="s">
        <v>184</v>
      </c>
      <c r="H271" s="43" cm="1">
        <f t="array" ref="H271">SUMPRODUCT(Tracking[Amount],--(Tracking[Date]&lt;=Tracking[[#This Row],[Date]]),(Tracking[Type]&lt;&gt;"Income")*(-1)+(Tracking[Type]="Income"))</f>
        <v>1442.6999999999998</v>
      </c>
      <c r="I271" s="51">
        <f>IF(AND(Tracking[[#This Row],[Type]]="Income",shift_late_income_status="Active",DAY(Tracking[[#This Row],[Date]])&gt;=shift_late_income_starting_day),DATE(YEAR(Tracking[[#This Row],[Date]]),MONTH(Tracking[[#This Row],[Date]])+1,1),Tracking[[#This Row],[Date]])</f>
        <v>45904</v>
      </c>
    </row>
    <row r="272" spans="3:9" hidden="1" x14ac:dyDescent="0.3">
      <c r="C272" s="41">
        <v>45905</v>
      </c>
      <c r="D272" s="39" t="s">
        <v>9</v>
      </c>
      <c r="E272" s="39" t="s">
        <v>166</v>
      </c>
      <c r="F272" s="139">
        <v>37.89</v>
      </c>
      <c r="G272" s="40"/>
      <c r="H272" s="43" cm="1">
        <f t="array" ref="H272">SUMPRODUCT(Tracking[Amount],--(Tracking[Date]&lt;=Tracking[[#This Row],[Date]]),(Tracking[Type]&lt;&gt;"Income")*(-1)+(Tracking[Type]="Income"))</f>
        <v>1394.4399999999998</v>
      </c>
      <c r="I272" s="51">
        <f>IF(AND(Tracking[[#This Row],[Type]]="Income",shift_late_income_status="Active",DAY(Tracking[[#This Row],[Date]])&gt;=shift_late_income_starting_day),DATE(YEAR(Tracking[[#This Row],[Date]]),MONTH(Tracking[[#This Row],[Date]])+1,1),Tracking[[#This Row],[Date]])</f>
        <v>45905</v>
      </c>
    </row>
    <row r="273" spans="3:9" hidden="1" x14ac:dyDescent="0.3">
      <c r="C273" s="41">
        <v>45905</v>
      </c>
      <c r="D273" s="39" t="s">
        <v>9</v>
      </c>
      <c r="E273" s="39" t="s">
        <v>10</v>
      </c>
      <c r="F273" s="139">
        <v>10.37</v>
      </c>
      <c r="G273" s="40" t="s">
        <v>145</v>
      </c>
      <c r="H273" s="43" cm="1">
        <f t="array" ref="H273">SUMPRODUCT(Tracking[Amount],--(Tracking[Date]&lt;=Tracking[[#This Row],[Date]]),(Tracking[Type]&lt;&gt;"Income")*(-1)+(Tracking[Type]="Income"))</f>
        <v>1394.4399999999998</v>
      </c>
      <c r="I273" s="51">
        <f>IF(AND(Tracking[[#This Row],[Type]]="Income",shift_late_income_status="Active",DAY(Tracking[[#This Row],[Date]])&gt;=shift_late_income_starting_day),DATE(YEAR(Tracking[[#This Row],[Date]]),MONTH(Tracking[[#This Row],[Date]])+1,1),Tracking[[#This Row],[Date]])</f>
        <v>45905</v>
      </c>
    </row>
    <row r="274" spans="3:9" hidden="1" x14ac:dyDescent="0.3">
      <c r="C274" s="41">
        <v>45906</v>
      </c>
      <c r="D274" s="39" t="s">
        <v>14</v>
      </c>
      <c r="E274" s="39" t="s">
        <v>110</v>
      </c>
      <c r="F274" s="139">
        <v>300</v>
      </c>
      <c r="G274" s="40"/>
      <c r="H274" s="43" cm="1">
        <f t="array" ref="H274">SUMPRODUCT(Tracking[Amount],--(Tracking[Date]&lt;=Tracking[[#This Row],[Date]]),(Tracking[Type]&lt;&gt;"Income")*(-1)+(Tracking[Type]="Income"))</f>
        <v>794.43999999999983</v>
      </c>
      <c r="I274" s="51">
        <f>IF(AND(Tracking[[#This Row],[Type]]="Income",shift_late_income_status="Active",DAY(Tracking[[#This Row],[Date]])&gt;=shift_late_income_starting_day),DATE(YEAR(Tracking[[#This Row],[Date]]),MONTH(Tracking[[#This Row],[Date]])+1,1),Tracking[[#This Row],[Date]])</f>
        <v>45906</v>
      </c>
    </row>
    <row r="275" spans="3:9" hidden="1" x14ac:dyDescent="0.3">
      <c r="C275" s="41">
        <v>45906</v>
      </c>
      <c r="D275" s="39" t="s">
        <v>14</v>
      </c>
      <c r="E275" s="39" t="s">
        <v>157</v>
      </c>
      <c r="F275" s="139">
        <v>300</v>
      </c>
      <c r="G275" s="40"/>
      <c r="H275" s="43" cm="1">
        <f t="array" ref="H275">SUMPRODUCT(Tracking[Amount],--(Tracking[Date]&lt;=Tracking[[#This Row],[Date]]),(Tracking[Type]&lt;&gt;"Income")*(-1)+(Tracking[Type]="Income"))</f>
        <v>794.43999999999983</v>
      </c>
      <c r="I275" s="51">
        <f>IF(AND(Tracking[[#This Row],[Type]]="Income",shift_late_income_status="Active",DAY(Tracking[[#This Row],[Date]])&gt;=shift_late_income_starting_day),DATE(YEAR(Tracking[[#This Row],[Date]]),MONTH(Tracking[[#This Row],[Date]])+1,1),Tracking[[#This Row],[Date]])</f>
        <v>45906</v>
      </c>
    </row>
    <row r="276" spans="3:9" hidden="1" x14ac:dyDescent="0.3">
      <c r="C276" s="41">
        <v>45908</v>
      </c>
      <c r="D276" s="39" t="s">
        <v>9</v>
      </c>
      <c r="E276" s="39" t="s">
        <v>10</v>
      </c>
      <c r="F276" s="139">
        <v>15.45</v>
      </c>
      <c r="G276" s="40" t="s">
        <v>145</v>
      </c>
      <c r="H276" s="43" cm="1">
        <f t="array" ref="H276">SUMPRODUCT(Tracking[Amount],--(Tracking[Date]&lt;=Tracking[[#This Row],[Date]]),(Tracking[Type]&lt;&gt;"Income")*(-1)+(Tracking[Type]="Income"))</f>
        <v>683.5899999999998</v>
      </c>
      <c r="I276" s="51">
        <f>IF(AND(Tracking[[#This Row],[Type]]="Income",shift_late_income_status="Active",DAY(Tracking[[#This Row],[Date]])&gt;=shift_late_income_starting_day),DATE(YEAR(Tracking[[#This Row],[Date]]),MONTH(Tracking[[#This Row],[Date]])+1,1),Tracking[[#This Row],[Date]])</f>
        <v>45908</v>
      </c>
    </row>
    <row r="277" spans="3:9" hidden="1" x14ac:dyDescent="0.3">
      <c r="C277" s="41">
        <v>45908</v>
      </c>
      <c r="D277" s="39" t="s">
        <v>9</v>
      </c>
      <c r="E277" s="39" t="s">
        <v>10</v>
      </c>
      <c r="F277" s="139">
        <v>26.51</v>
      </c>
      <c r="G277" s="40" t="s">
        <v>177</v>
      </c>
      <c r="H277" s="43" cm="1">
        <f t="array" ref="H277">SUMPRODUCT(Tracking[Amount],--(Tracking[Date]&lt;=Tracking[[#This Row],[Date]]),(Tracking[Type]&lt;&gt;"Income")*(-1)+(Tracking[Type]="Income"))</f>
        <v>683.5899999999998</v>
      </c>
      <c r="I277" s="51">
        <f>IF(AND(Tracking[[#This Row],[Type]]="Income",shift_late_income_status="Active",DAY(Tracking[[#This Row],[Date]])&gt;=shift_late_income_starting_day),DATE(YEAR(Tracking[[#This Row],[Date]]),MONTH(Tracking[[#This Row],[Date]])+1,1),Tracking[[#This Row],[Date]])</f>
        <v>45908</v>
      </c>
    </row>
    <row r="278" spans="3:9" hidden="1" x14ac:dyDescent="0.3">
      <c r="C278" s="41">
        <v>45908</v>
      </c>
      <c r="D278" s="39" t="s">
        <v>9</v>
      </c>
      <c r="E278" s="39" t="s">
        <v>10</v>
      </c>
      <c r="F278" s="139">
        <v>31</v>
      </c>
      <c r="G278" s="40" t="s">
        <v>184</v>
      </c>
      <c r="H278" s="43" cm="1">
        <f t="array" ref="H278">SUMPRODUCT(Tracking[Amount],--(Tracking[Date]&lt;=Tracking[[#This Row],[Date]]),(Tracking[Type]&lt;&gt;"Income")*(-1)+(Tracking[Type]="Income"))</f>
        <v>683.5899999999998</v>
      </c>
      <c r="I278" s="51">
        <f>IF(AND(Tracking[[#This Row],[Type]]="Income",shift_late_income_status="Active",DAY(Tracking[[#This Row],[Date]])&gt;=shift_late_income_starting_day),DATE(YEAR(Tracking[[#This Row],[Date]]),MONTH(Tracking[[#This Row],[Date]])+1,1),Tracking[[#This Row],[Date]])</f>
        <v>45908</v>
      </c>
    </row>
    <row r="279" spans="3:9" hidden="1" x14ac:dyDescent="0.3">
      <c r="C279" s="41">
        <v>45908</v>
      </c>
      <c r="D279" s="39" t="s">
        <v>9</v>
      </c>
      <c r="E279" s="39" t="s">
        <v>166</v>
      </c>
      <c r="F279" s="139">
        <v>37.89</v>
      </c>
      <c r="G279" s="40"/>
      <c r="H279" s="43" cm="1">
        <f t="array" ref="H279">SUMPRODUCT(Tracking[Amount],--(Tracking[Date]&lt;=Tracking[[#This Row],[Date]]),(Tracking[Type]&lt;&gt;"Income")*(-1)+(Tracking[Type]="Income"))</f>
        <v>683.5899999999998</v>
      </c>
      <c r="I279" s="51">
        <f>IF(AND(Tracking[[#This Row],[Type]]="Income",shift_late_income_status="Active",DAY(Tracking[[#This Row],[Date]])&gt;=shift_late_income_starting_day),DATE(YEAR(Tracking[[#This Row],[Date]]),MONTH(Tracking[[#This Row],[Date]])+1,1),Tracking[[#This Row],[Date]])</f>
        <v>45908</v>
      </c>
    </row>
    <row r="280" spans="3:9" hidden="1" x14ac:dyDescent="0.3">
      <c r="C280" s="41">
        <v>45909</v>
      </c>
      <c r="D280" s="39" t="s">
        <v>9</v>
      </c>
      <c r="E280" s="39" t="s">
        <v>10</v>
      </c>
      <c r="F280" s="139">
        <v>11.9</v>
      </c>
      <c r="G280" s="40" t="s">
        <v>173</v>
      </c>
      <c r="H280" s="43" cm="1">
        <f t="array" ref="H280">SUMPRODUCT(Tracking[Amount],--(Tracking[Date]&lt;=Tracking[[#This Row],[Date]]),(Tracking[Type]&lt;&gt;"Income")*(-1)+(Tracking[Type]="Income"))</f>
        <v>671.68999999999983</v>
      </c>
      <c r="I280" s="51">
        <f>IF(AND(Tracking[[#This Row],[Type]]="Income",shift_late_income_status="Active",DAY(Tracking[[#This Row],[Date]])&gt;=shift_late_income_starting_day),DATE(YEAR(Tracking[[#This Row],[Date]]),MONTH(Tracking[[#This Row],[Date]])+1,1),Tracking[[#This Row],[Date]])</f>
        <v>45909</v>
      </c>
    </row>
    <row r="281" spans="3:9" hidden="1" x14ac:dyDescent="0.3">
      <c r="C281" s="41">
        <v>45911</v>
      </c>
      <c r="D281" s="39" t="s">
        <v>9</v>
      </c>
      <c r="E281" s="39" t="s">
        <v>10</v>
      </c>
      <c r="F281" s="139">
        <v>18.89</v>
      </c>
      <c r="G281" s="40" t="s">
        <v>249</v>
      </c>
      <c r="H281" s="43" cm="1">
        <f t="array" ref="H281">SUMPRODUCT(Tracking[Amount],--(Tracking[Date]&lt;=Tracking[[#This Row],[Date]]),(Tracking[Type]&lt;&gt;"Income")*(-1)+(Tracking[Type]="Income"))</f>
        <v>652.79999999999984</v>
      </c>
      <c r="I281" s="51">
        <f>IF(AND(Tracking[[#This Row],[Type]]="Income",shift_late_income_status="Active",DAY(Tracking[[#This Row],[Date]])&gt;=shift_late_income_starting_day),DATE(YEAR(Tracking[[#This Row],[Date]]),MONTH(Tracking[[#This Row],[Date]])+1,1),Tracking[[#This Row],[Date]])</f>
        <v>45911</v>
      </c>
    </row>
    <row r="282" spans="3:9" hidden="1" x14ac:dyDescent="0.3">
      <c r="C282" s="41">
        <v>45912</v>
      </c>
      <c r="D282" s="39" t="s">
        <v>9</v>
      </c>
      <c r="E282" s="39" t="s">
        <v>10</v>
      </c>
      <c r="F282" s="139">
        <v>71.239999999999995</v>
      </c>
      <c r="G282" s="40" t="s">
        <v>250</v>
      </c>
      <c r="H282" s="43" cm="1">
        <f t="array" ref="H282">SUMPRODUCT(Tracking[Amount],--(Tracking[Date]&lt;=Tracking[[#This Row],[Date]]),(Tracking[Type]&lt;&gt;"Income")*(-1)+(Tracking[Type]="Income"))</f>
        <v>581.55999999999983</v>
      </c>
      <c r="I282" s="51">
        <f>IF(AND(Tracking[[#This Row],[Type]]="Income",shift_late_income_status="Active",DAY(Tracking[[#This Row],[Date]])&gt;=shift_late_income_starting_day),DATE(YEAR(Tracking[[#This Row],[Date]]),MONTH(Tracking[[#This Row],[Date]])+1,1),Tracking[[#This Row],[Date]])</f>
        <v>45912</v>
      </c>
    </row>
    <row r="283" spans="3:9" hidden="1" x14ac:dyDescent="0.3">
      <c r="C283" s="41">
        <v>45913</v>
      </c>
      <c r="D283" s="39" t="s">
        <v>9</v>
      </c>
      <c r="E283" s="39" t="s">
        <v>10</v>
      </c>
      <c r="F283" s="139">
        <v>17.14</v>
      </c>
      <c r="G283" s="40" t="s">
        <v>171</v>
      </c>
      <c r="H283" s="43" cm="1">
        <f t="array" ref="H283">SUMPRODUCT(Tracking[Amount],--(Tracking[Date]&lt;=Tracking[[#This Row],[Date]]),(Tracking[Type]&lt;&gt;"Income")*(-1)+(Tracking[Type]="Income"))</f>
        <v>502.15999999999991</v>
      </c>
      <c r="I283" s="51">
        <f>IF(AND(Tracking[[#This Row],[Type]]="Income",shift_late_income_status="Active",DAY(Tracking[[#This Row],[Date]])&gt;=shift_late_income_starting_day),DATE(YEAR(Tracking[[#This Row],[Date]]),MONTH(Tracking[[#This Row],[Date]])+1,1),Tracking[[#This Row],[Date]])</f>
        <v>45913</v>
      </c>
    </row>
    <row r="284" spans="3:9" hidden="1" x14ac:dyDescent="0.3">
      <c r="C284" s="41">
        <v>45913</v>
      </c>
      <c r="D284" s="39" t="s">
        <v>9</v>
      </c>
      <c r="E284" s="39" t="s">
        <v>10</v>
      </c>
      <c r="F284" s="139">
        <v>45.3</v>
      </c>
      <c r="G284" s="40" t="s">
        <v>251</v>
      </c>
      <c r="H284" s="43" cm="1">
        <f t="array" ref="H284">SUMPRODUCT(Tracking[Amount],--(Tracking[Date]&lt;=Tracking[[#This Row],[Date]]),(Tracking[Type]&lt;&gt;"Income")*(-1)+(Tracking[Type]="Income"))</f>
        <v>502.15999999999991</v>
      </c>
      <c r="I284" s="51">
        <f>IF(AND(Tracking[[#This Row],[Type]]="Income",shift_late_income_status="Active",DAY(Tracking[[#This Row],[Date]])&gt;=shift_late_income_starting_day),DATE(YEAR(Tracking[[#This Row],[Date]]),MONTH(Tracking[[#This Row],[Date]])+1,1),Tracking[[#This Row],[Date]])</f>
        <v>45913</v>
      </c>
    </row>
    <row r="285" spans="3:9" hidden="1" x14ac:dyDescent="0.3">
      <c r="C285" s="41">
        <v>45913</v>
      </c>
      <c r="D285" s="39" t="s">
        <v>9</v>
      </c>
      <c r="E285" s="39" t="s">
        <v>10</v>
      </c>
      <c r="F285" s="139">
        <f>12.75+4.21</f>
        <v>16.96</v>
      </c>
      <c r="G285" s="40" t="s">
        <v>252</v>
      </c>
      <c r="H285" s="43" cm="1">
        <f t="array" ref="H285">SUMPRODUCT(Tracking[Amount],--(Tracking[Date]&lt;=Tracking[[#This Row],[Date]]),(Tracking[Type]&lt;&gt;"Income")*(-1)+(Tracking[Type]="Income"))</f>
        <v>502.15999999999991</v>
      </c>
      <c r="I285" s="51">
        <f>IF(AND(Tracking[[#This Row],[Type]]="Income",shift_late_income_status="Active",DAY(Tracking[[#This Row],[Date]])&gt;=shift_late_income_starting_day),DATE(YEAR(Tracking[[#This Row],[Date]]),MONTH(Tracking[[#This Row],[Date]])+1,1),Tracking[[#This Row],[Date]])</f>
        <v>45913</v>
      </c>
    </row>
    <row r="286" spans="3:9" hidden="1" x14ac:dyDescent="0.3">
      <c r="C286" s="41">
        <v>45914</v>
      </c>
      <c r="D286" s="39" t="s">
        <v>9</v>
      </c>
      <c r="E286" s="39" t="s">
        <v>10</v>
      </c>
      <c r="F286" s="139">
        <v>25.66</v>
      </c>
      <c r="G286" s="40" t="s">
        <v>177</v>
      </c>
      <c r="H286" s="43" cm="1">
        <f t="array" ref="H286">SUMPRODUCT(Tracking[Amount],--(Tracking[Date]&lt;=Tracking[[#This Row],[Date]]),(Tracking[Type]&lt;&gt;"Income")*(-1)+(Tracking[Type]="Income"))</f>
        <v>476.49999999999989</v>
      </c>
      <c r="I286" s="51">
        <f>IF(AND(Tracking[[#This Row],[Type]]="Income",shift_late_income_status="Active",DAY(Tracking[[#This Row],[Date]])&gt;=shift_late_income_starting_day),DATE(YEAR(Tracking[[#This Row],[Date]]),MONTH(Tracking[[#This Row],[Date]])+1,1),Tracking[[#This Row],[Date]])</f>
        <v>45914</v>
      </c>
    </row>
    <row r="287" spans="3:9" hidden="1" x14ac:dyDescent="0.3">
      <c r="C287" s="41">
        <v>45915</v>
      </c>
      <c r="D287" s="39" t="s">
        <v>5</v>
      </c>
      <c r="E287" s="39" t="s">
        <v>104</v>
      </c>
      <c r="F287" s="139">
        <v>9.8699999999999992</v>
      </c>
      <c r="G287" s="40"/>
      <c r="H287" s="43" cm="1">
        <f t="array" ref="H287">SUMPRODUCT(Tracking[Amount],--(Tracking[Date]&lt;=Tracking[[#This Row],[Date]]),(Tracking[Type]&lt;&gt;"Income")*(-1)+(Tracking[Type]="Income"))</f>
        <v>476.49999999999989</v>
      </c>
      <c r="I287" s="51">
        <f>IF(AND(Tracking[[#This Row],[Type]]="Income",shift_late_income_status="Active",DAY(Tracking[[#This Row],[Date]])&gt;=shift_late_income_starting_day),DATE(YEAR(Tracking[[#This Row],[Date]]),MONTH(Tracking[[#This Row],[Date]])+1,1),Tracking[[#This Row],[Date]])</f>
        <v>45915</v>
      </c>
    </row>
    <row r="288" spans="3:9" hidden="1" x14ac:dyDescent="0.3">
      <c r="C288" s="41">
        <v>45915</v>
      </c>
      <c r="D288" s="39" t="s">
        <v>14</v>
      </c>
      <c r="E288" s="39" t="s">
        <v>110</v>
      </c>
      <c r="F288" s="139">
        <v>9.8699999999999992</v>
      </c>
      <c r="G288" s="40"/>
      <c r="H288" s="43" cm="1">
        <f t="array" ref="H288">SUMPRODUCT(Tracking[Amount],--(Tracking[Date]&lt;=Tracking[[#This Row],[Date]]),(Tracking[Type]&lt;&gt;"Income")*(-1)+(Tracking[Type]="Income"))</f>
        <v>476.49999999999989</v>
      </c>
      <c r="I288" s="51">
        <f>IF(AND(Tracking[[#This Row],[Type]]="Income",shift_late_income_status="Active",DAY(Tracking[[#This Row],[Date]])&gt;=shift_late_income_starting_day),DATE(YEAR(Tracking[[#This Row],[Date]]),MONTH(Tracking[[#This Row],[Date]])+1,1),Tracking[[#This Row],[Date]])</f>
        <v>45915</v>
      </c>
    </row>
    <row r="289" spans="3:9" hidden="1" x14ac:dyDescent="0.3">
      <c r="C289" s="41">
        <v>45917</v>
      </c>
      <c r="D289" s="39" t="s">
        <v>9</v>
      </c>
      <c r="E289" s="39" t="s">
        <v>111</v>
      </c>
      <c r="F289" s="139">
        <v>43.5</v>
      </c>
      <c r="G289" s="40" t="s">
        <v>253</v>
      </c>
      <c r="H289" s="43" cm="1">
        <f t="array" ref="H289">SUMPRODUCT(Tracking[Amount],--(Tracking[Date]&lt;=Tracking[[#This Row],[Date]]),(Tracking[Type]&lt;&gt;"Income")*(-1)+(Tracking[Type]="Income"))</f>
        <v>430.49999999999989</v>
      </c>
      <c r="I289" s="51">
        <f>IF(AND(Tracking[[#This Row],[Type]]="Income",shift_late_income_status="Active",DAY(Tracking[[#This Row],[Date]])&gt;=shift_late_income_starting_day),DATE(YEAR(Tracking[[#This Row],[Date]]),MONTH(Tracking[[#This Row],[Date]])+1,1),Tracking[[#This Row],[Date]])</f>
        <v>45917</v>
      </c>
    </row>
    <row r="290" spans="3:9" hidden="1" x14ac:dyDescent="0.3">
      <c r="C290" s="41">
        <v>45917</v>
      </c>
      <c r="D290" s="39" t="s">
        <v>9</v>
      </c>
      <c r="E290" s="39" t="s">
        <v>111</v>
      </c>
      <c r="F290" s="139">
        <v>2.5</v>
      </c>
      <c r="G290" s="40" t="s">
        <v>254</v>
      </c>
      <c r="H290" s="43" cm="1">
        <f t="array" ref="H290">SUMPRODUCT(Tracking[Amount],--(Tracking[Date]&lt;=Tracking[[#This Row],[Date]]),(Tracking[Type]&lt;&gt;"Income")*(-1)+(Tracking[Type]="Income"))</f>
        <v>430.49999999999989</v>
      </c>
      <c r="I290" s="51">
        <f>IF(AND(Tracking[[#This Row],[Type]]="Income",shift_late_income_status="Active",DAY(Tracking[[#This Row],[Date]])&gt;=shift_late_income_starting_day),DATE(YEAR(Tracking[[#This Row],[Date]]),MONTH(Tracking[[#This Row],[Date]])+1,1),Tracking[[#This Row],[Date]])</f>
        <v>45917</v>
      </c>
    </row>
    <row r="291" spans="3:9" hidden="1" x14ac:dyDescent="0.3">
      <c r="C291" s="41">
        <v>45918</v>
      </c>
      <c r="D291" s="39" t="s">
        <v>9</v>
      </c>
      <c r="E291" s="39" t="s">
        <v>10</v>
      </c>
      <c r="F291" s="139">
        <v>16.21</v>
      </c>
      <c r="G291" s="40" t="s">
        <v>255</v>
      </c>
      <c r="H291" s="43" cm="1">
        <f t="array" ref="H291">SUMPRODUCT(Tracking[Amount],--(Tracking[Date]&lt;=Tracking[[#This Row],[Date]]),(Tracking[Type]&lt;&gt;"Income")*(-1)+(Tracking[Type]="Income"))</f>
        <v>414.28999999999991</v>
      </c>
      <c r="I291" s="51">
        <f>IF(AND(Tracking[[#This Row],[Type]]="Income",shift_late_income_status="Active",DAY(Tracking[[#This Row],[Date]])&gt;=shift_late_income_starting_day),DATE(YEAR(Tracking[[#This Row],[Date]]),MONTH(Tracking[[#This Row],[Date]])+1,1),Tracking[[#This Row],[Date]])</f>
        <v>45918</v>
      </c>
    </row>
    <row r="292" spans="3:9" hidden="1" x14ac:dyDescent="0.3">
      <c r="C292" s="41">
        <v>45919</v>
      </c>
      <c r="D292" s="39" t="s">
        <v>5</v>
      </c>
      <c r="E292" s="39" t="s">
        <v>103</v>
      </c>
      <c r="F292" s="139">
        <v>658.02</v>
      </c>
      <c r="G292" s="40"/>
      <c r="H292" s="43" cm="1">
        <f t="array" ref="H292">SUMPRODUCT(Tracking[Amount],--(Tracking[Date]&lt;=Tracking[[#This Row],[Date]]),(Tracking[Type]&lt;&gt;"Income")*(-1)+(Tracking[Type]="Income"))</f>
        <v>1039.8499999999999</v>
      </c>
      <c r="I292" s="51">
        <f>IF(AND(Tracking[[#This Row],[Type]]="Income",shift_late_income_status="Active",DAY(Tracking[[#This Row],[Date]])&gt;=shift_late_income_starting_day),DATE(YEAR(Tracking[[#This Row],[Date]]),MONTH(Tracking[[#This Row],[Date]])+1,1),Tracking[[#This Row],[Date]])</f>
        <v>45919</v>
      </c>
    </row>
    <row r="293" spans="3:9" hidden="1" x14ac:dyDescent="0.3">
      <c r="C293" s="41">
        <v>45919</v>
      </c>
      <c r="D293" s="39" t="s">
        <v>9</v>
      </c>
      <c r="E293" s="39" t="s">
        <v>12</v>
      </c>
      <c r="F293" s="139">
        <v>32.46</v>
      </c>
      <c r="G293" s="40" t="s">
        <v>256</v>
      </c>
      <c r="H293" s="43" cm="1">
        <f t="array" ref="H293">SUMPRODUCT(Tracking[Amount],--(Tracking[Date]&lt;=Tracking[[#This Row],[Date]]),(Tracking[Type]&lt;&gt;"Income")*(-1)+(Tracking[Type]="Income"))</f>
        <v>1039.8499999999999</v>
      </c>
      <c r="I293" s="51">
        <f>IF(AND(Tracking[[#This Row],[Type]]="Income",shift_late_income_status="Active",DAY(Tracking[[#This Row],[Date]])&gt;=shift_late_income_starting_day),DATE(YEAR(Tracking[[#This Row],[Date]]),MONTH(Tracking[[#This Row],[Date]])+1,1),Tracking[[#This Row],[Date]])</f>
        <v>45919</v>
      </c>
    </row>
    <row r="294" spans="3:9" hidden="1" x14ac:dyDescent="0.3">
      <c r="C294" s="41">
        <v>45920</v>
      </c>
      <c r="D294" s="39" t="s">
        <v>9</v>
      </c>
      <c r="E294" s="39" t="s">
        <v>10</v>
      </c>
      <c r="F294" s="139">
        <v>13.82</v>
      </c>
      <c r="G294" s="40" t="s">
        <v>257</v>
      </c>
      <c r="H294" s="43" cm="1">
        <f t="array" ref="H294">SUMPRODUCT(Tracking[Amount],--(Tracking[Date]&lt;=Tracking[[#This Row],[Date]]),(Tracking[Type]&lt;&gt;"Income")*(-1)+(Tracking[Type]="Income"))</f>
        <v>1026.03</v>
      </c>
      <c r="I294" s="51">
        <f>IF(AND(Tracking[[#This Row],[Type]]="Income",shift_late_income_status="Active",DAY(Tracking[[#This Row],[Date]])&gt;=shift_late_income_starting_day),DATE(YEAR(Tracking[[#This Row],[Date]]),MONTH(Tracking[[#This Row],[Date]])+1,1),Tracking[[#This Row],[Date]])</f>
        <v>45920</v>
      </c>
    </row>
    <row r="295" spans="3:9" hidden="1" x14ac:dyDescent="0.3">
      <c r="C295" s="41">
        <v>45921</v>
      </c>
      <c r="D295" s="39" t="s">
        <v>9</v>
      </c>
      <c r="E295" s="39" t="s">
        <v>10</v>
      </c>
      <c r="F295" s="139">
        <v>7.06</v>
      </c>
      <c r="G295" s="40" t="s">
        <v>248</v>
      </c>
      <c r="H295" s="43" cm="1">
        <f t="array" ref="H295">SUMPRODUCT(Tracking[Amount],--(Tracking[Date]&lt;=Tracking[[#This Row],[Date]]),(Tracking[Type]&lt;&gt;"Income")*(-1)+(Tracking[Type]="Income"))</f>
        <v>799.97</v>
      </c>
      <c r="I295" s="51">
        <f>IF(AND(Tracking[[#This Row],[Type]]="Income",shift_late_income_status="Active",DAY(Tracking[[#This Row],[Date]])&gt;=shift_late_income_starting_day),DATE(YEAR(Tracking[[#This Row],[Date]]),MONTH(Tracking[[#This Row],[Date]])+1,1),Tracking[[#This Row],[Date]])</f>
        <v>45921</v>
      </c>
    </row>
    <row r="296" spans="3:9" hidden="1" x14ac:dyDescent="0.3">
      <c r="C296" s="41">
        <v>45921</v>
      </c>
      <c r="D296" s="39" t="s">
        <v>14</v>
      </c>
      <c r="E296" s="39" t="s">
        <v>110</v>
      </c>
      <c r="F296" s="139">
        <v>100</v>
      </c>
      <c r="G296" s="40"/>
      <c r="H296" s="43" cm="1">
        <f t="array" ref="H296">SUMPRODUCT(Tracking[Amount],--(Tracking[Date]&lt;=Tracking[[#This Row],[Date]]),(Tracking[Type]&lt;&gt;"Income")*(-1)+(Tracking[Type]="Income"))</f>
        <v>799.97</v>
      </c>
      <c r="I296" s="51">
        <f>IF(AND(Tracking[[#This Row],[Type]]="Income",shift_late_income_status="Active",DAY(Tracking[[#This Row],[Date]])&gt;=shift_late_income_starting_day),DATE(YEAR(Tracking[[#This Row],[Date]]),MONTH(Tracking[[#This Row],[Date]])+1,1),Tracking[[#This Row],[Date]])</f>
        <v>45921</v>
      </c>
    </row>
    <row r="297" spans="3:9" hidden="1" x14ac:dyDescent="0.3">
      <c r="C297" s="41">
        <v>45921</v>
      </c>
      <c r="D297" s="39" t="s">
        <v>14</v>
      </c>
      <c r="E297" s="39" t="s">
        <v>157</v>
      </c>
      <c r="F297" s="139">
        <v>119</v>
      </c>
      <c r="G297" s="40"/>
      <c r="H297" s="43" cm="1">
        <f t="array" ref="H297">SUMPRODUCT(Tracking[Amount],--(Tracking[Date]&lt;=Tracking[[#This Row],[Date]]),(Tracking[Type]&lt;&gt;"Income")*(-1)+(Tracking[Type]="Income"))</f>
        <v>799.97</v>
      </c>
      <c r="I297" s="51">
        <f>IF(AND(Tracking[[#This Row],[Type]]="Income",shift_late_income_status="Active",DAY(Tracking[[#This Row],[Date]])&gt;=shift_late_income_starting_day),DATE(YEAR(Tracking[[#This Row],[Date]]),MONTH(Tracking[[#This Row],[Date]])+1,1),Tracking[[#This Row],[Date]])</f>
        <v>45921</v>
      </c>
    </row>
    <row r="298" spans="3:9" hidden="1" x14ac:dyDescent="0.3">
      <c r="C298" s="41">
        <v>45923</v>
      </c>
      <c r="D298" s="39" t="s">
        <v>9</v>
      </c>
      <c r="E298" s="39" t="s">
        <v>111</v>
      </c>
      <c r="F298" s="139">
        <v>15.58</v>
      </c>
      <c r="G298" s="40" t="s">
        <v>258</v>
      </c>
      <c r="H298" s="43" cm="1">
        <f t="array" ref="H298">SUMPRODUCT(Tracking[Amount],--(Tracking[Date]&lt;=Tracking[[#This Row],[Date]]),(Tracking[Type]&lt;&gt;"Income")*(-1)+(Tracking[Type]="Income"))</f>
        <v>784.39</v>
      </c>
      <c r="I298" s="51">
        <f>IF(AND(Tracking[[#This Row],[Type]]="Income",shift_late_income_status="Active",DAY(Tracking[[#This Row],[Date]])&gt;=shift_late_income_starting_day),DATE(YEAR(Tracking[[#This Row],[Date]]),MONTH(Tracking[[#This Row],[Date]])+1,1),Tracking[[#This Row],[Date]])</f>
        <v>45923</v>
      </c>
    </row>
    <row r="299" spans="3:9" hidden="1" x14ac:dyDescent="0.3">
      <c r="C299" s="41">
        <v>45924</v>
      </c>
      <c r="D299" s="39" t="s">
        <v>9</v>
      </c>
      <c r="E299" s="39" t="s">
        <v>10</v>
      </c>
      <c r="F299" s="139">
        <v>46.97</v>
      </c>
      <c r="G299" s="40" t="s">
        <v>250</v>
      </c>
      <c r="H299" s="43" cm="1">
        <f t="array" ref="H299">SUMPRODUCT(Tracking[Amount],--(Tracking[Date]&lt;=Tracking[[#This Row],[Date]]),(Tracking[Type]&lt;&gt;"Income")*(-1)+(Tracking[Type]="Income"))</f>
        <v>737.42</v>
      </c>
      <c r="I299" s="51">
        <f>IF(AND(Tracking[[#This Row],[Type]]="Income",shift_late_income_status="Active",DAY(Tracking[[#This Row],[Date]])&gt;=shift_late_income_starting_day),DATE(YEAR(Tracking[[#This Row],[Date]]),MONTH(Tracking[[#This Row],[Date]])+1,1),Tracking[[#This Row],[Date]])</f>
        <v>45924</v>
      </c>
    </row>
    <row r="300" spans="3:9" hidden="1" x14ac:dyDescent="0.3">
      <c r="C300" s="41">
        <v>45925</v>
      </c>
      <c r="D300" s="39" t="s">
        <v>9</v>
      </c>
      <c r="E300" s="39" t="s">
        <v>108</v>
      </c>
      <c r="F300" s="139">
        <v>25.02</v>
      </c>
      <c r="G300" s="40" t="s">
        <v>257</v>
      </c>
      <c r="H300" s="43" cm="1">
        <f t="array" ref="H300">SUMPRODUCT(Tracking[Amount],--(Tracking[Date]&lt;=Tracking[[#This Row],[Date]]),(Tracking[Type]&lt;&gt;"Income")*(-1)+(Tracking[Type]="Income"))</f>
        <v>712.4</v>
      </c>
      <c r="I300" s="51">
        <f>IF(AND(Tracking[[#This Row],[Type]]="Income",shift_late_income_status="Active",DAY(Tracking[[#This Row],[Date]])&gt;=shift_late_income_starting_day),DATE(YEAR(Tracking[[#This Row],[Date]]),MONTH(Tracking[[#This Row],[Date]])+1,1),Tracking[[#This Row],[Date]])</f>
        <v>45925</v>
      </c>
    </row>
    <row r="301" spans="3:9" hidden="1" x14ac:dyDescent="0.3">
      <c r="C301" s="41">
        <v>45929</v>
      </c>
      <c r="D301" s="39" t="s">
        <v>9</v>
      </c>
      <c r="E301" s="39" t="s">
        <v>10</v>
      </c>
      <c r="F301" s="139">
        <v>6.55</v>
      </c>
      <c r="G301" s="40" t="s">
        <v>259</v>
      </c>
      <c r="H301" s="43" cm="1">
        <f t="array" ref="H301">SUMPRODUCT(Tracking[Amount],--(Tracking[Date]&lt;=Tracking[[#This Row],[Date]]),(Tracking[Type]&lt;&gt;"Income")*(-1)+(Tracking[Type]="Income"))</f>
        <v>668.81999999999994</v>
      </c>
      <c r="I301" s="51">
        <f>IF(AND(Tracking[[#This Row],[Type]]="Income",shift_late_income_status="Active",DAY(Tracking[[#This Row],[Date]])&gt;=shift_late_income_starting_day),DATE(YEAR(Tracking[[#This Row],[Date]]),MONTH(Tracking[[#This Row],[Date]])+1,1),Tracking[[#This Row],[Date]])</f>
        <v>45929</v>
      </c>
    </row>
    <row r="302" spans="3:9" hidden="1" x14ac:dyDescent="0.3">
      <c r="C302" s="41">
        <v>45929</v>
      </c>
      <c r="D302" s="39" t="s">
        <v>9</v>
      </c>
      <c r="E302" s="39" t="s">
        <v>10</v>
      </c>
      <c r="F302" s="139">
        <v>11.9</v>
      </c>
      <c r="G302" s="40" t="s">
        <v>173</v>
      </c>
      <c r="H302" s="43" cm="1">
        <f t="array" ref="H302">SUMPRODUCT(Tracking[Amount],--(Tracking[Date]&lt;=Tracking[[#This Row],[Date]]),(Tracking[Type]&lt;&gt;"Income")*(-1)+(Tracking[Type]="Income"))</f>
        <v>668.81999999999994</v>
      </c>
      <c r="I302" s="51">
        <f>IF(AND(Tracking[[#This Row],[Type]]="Income",shift_late_income_status="Active",DAY(Tracking[[#This Row],[Date]])&gt;=shift_late_income_starting_day),DATE(YEAR(Tracking[[#This Row],[Date]]),MONTH(Tracking[[#This Row],[Date]])+1,1),Tracking[[#This Row],[Date]])</f>
        <v>45929</v>
      </c>
    </row>
    <row r="303" spans="3:9" hidden="1" x14ac:dyDescent="0.3">
      <c r="C303" s="41">
        <v>45929</v>
      </c>
      <c r="D303" s="39" t="s">
        <v>9</v>
      </c>
      <c r="E303" s="39" t="s">
        <v>10</v>
      </c>
      <c r="F303" s="139">
        <v>12.44</v>
      </c>
      <c r="G303" s="40" t="s">
        <v>249</v>
      </c>
      <c r="H303" s="43" cm="1">
        <f t="array" ref="H303">SUMPRODUCT(Tracking[Amount],--(Tracking[Date]&lt;=Tracking[[#This Row],[Date]]),(Tracking[Type]&lt;&gt;"Income")*(-1)+(Tracking[Type]="Income"))</f>
        <v>668.81999999999994</v>
      </c>
      <c r="I303" s="51">
        <f>IF(AND(Tracking[[#This Row],[Type]]="Income",shift_late_income_status="Active",DAY(Tracking[[#This Row],[Date]])&gt;=shift_late_income_starting_day),DATE(YEAR(Tracking[[#This Row],[Date]]),MONTH(Tracking[[#This Row],[Date]])+1,1),Tracking[[#This Row],[Date]])</f>
        <v>45929</v>
      </c>
    </row>
    <row r="304" spans="3:9" hidden="1" x14ac:dyDescent="0.3">
      <c r="C304" s="41">
        <v>45929</v>
      </c>
      <c r="D304" s="39" t="s">
        <v>9</v>
      </c>
      <c r="E304" s="39" t="s">
        <v>108</v>
      </c>
      <c r="F304" s="139">
        <v>12.69</v>
      </c>
      <c r="G304" s="40" t="s">
        <v>249</v>
      </c>
      <c r="H304" s="43" cm="1">
        <f t="array" ref="H304">SUMPRODUCT(Tracking[Amount],--(Tracking[Date]&lt;=Tracking[[#This Row],[Date]]),(Tracking[Type]&lt;&gt;"Income")*(-1)+(Tracking[Type]="Income"))</f>
        <v>668.81999999999994</v>
      </c>
      <c r="I304" s="51">
        <f>IF(AND(Tracking[[#This Row],[Type]]="Income",shift_late_income_status="Active",DAY(Tracking[[#This Row],[Date]])&gt;=shift_late_income_starting_day),DATE(YEAR(Tracking[[#This Row],[Date]]),MONTH(Tracking[[#This Row],[Date]])+1,1),Tracking[[#This Row],[Date]])</f>
        <v>45929</v>
      </c>
    </row>
    <row r="305" spans="3:9" hidden="1" x14ac:dyDescent="0.3">
      <c r="C305" s="41">
        <v>45930</v>
      </c>
      <c r="D305" s="39" t="s">
        <v>9</v>
      </c>
      <c r="E305" s="39" t="s">
        <v>10</v>
      </c>
      <c r="F305" s="139">
        <v>4.7300000000000004</v>
      </c>
      <c r="G305" s="40" t="s">
        <v>259</v>
      </c>
      <c r="H305" s="43" cm="1">
        <f t="array" ref="H305">SUMPRODUCT(Tracking[Amount],--(Tracking[Date]&lt;=Tracking[[#This Row],[Date]]),(Tracking[Type]&lt;&gt;"Income")*(-1)+(Tracking[Type]="Income"))</f>
        <v>636.87999999999988</v>
      </c>
      <c r="I305" s="51">
        <f>IF(AND(Tracking[[#This Row],[Type]]="Income",shift_late_income_status="Active",DAY(Tracking[[#This Row],[Date]])&gt;=shift_late_income_starting_day),DATE(YEAR(Tracking[[#This Row],[Date]]),MONTH(Tracking[[#This Row],[Date]])+1,1),Tracking[[#This Row],[Date]])</f>
        <v>45930</v>
      </c>
    </row>
    <row r="306" spans="3:9" hidden="1" x14ac:dyDescent="0.3">
      <c r="C306" s="41">
        <v>45930</v>
      </c>
      <c r="D306" s="39" t="s">
        <v>9</v>
      </c>
      <c r="E306" s="39" t="s">
        <v>10</v>
      </c>
      <c r="F306" s="139">
        <v>16.21</v>
      </c>
      <c r="G306" s="40" t="s">
        <v>145</v>
      </c>
      <c r="H306" s="43" cm="1">
        <f t="array" ref="H306">SUMPRODUCT(Tracking[Amount],--(Tracking[Date]&lt;=Tracking[[#This Row],[Date]]),(Tracking[Type]&lt;&gt;"Income")*(-1)+(Tracking[Type]="Income"))</f>
        <v>636.87999999999988</v>
      </c>
      <c r="I306" s="51">
        <f>IF(AND(Tracking[[#This Row],[Type]]="Income",shift_late_income_status="Active",DAY(Tracking[[#This Row],[Date]])&gt;=shift_late_income_starting_day),DATE(YEAR(Tracking[[#This Row],[Date]]),MONTH(Tracking[[#This Row],[Date]])+1,1),Tracking[[#This Row],[Date]])</f>
        <v>45930</v>
      </c>
    </row>
    <row r="307" spans="3:9" hidden="1" x14ac:dyDescent="0.3">
      <c r="C307" s="41">
        <v>45930</v>
      </c>
      <c r="D307" s="39" t="s">
        <v>9</v>
      </c>
      <c r="E307" s="39" t="s">
        <v>10</v>
      </c>
      <c r="F307" s="139">
        <v>11</v>
      </c>
      <c r="G307" s="40" t="s">
        <v>260</v>
      </c>
      <c r="H307" s="43" cm="1">
        <f t="array" ref="H307">SUMPRODUCT(Tracking[Amount],--(Tracking[Date]&lt;=Tracking[[#This Row],[Date]]),(Tracking[Type]&lt;&gt;"Income")*(-1)+(Tracking[Type]="Income"))</f>
        <v>636.87999999999988</v>
      </c>
      <c r="I307" s="51">
        <f>IF(AND(Tracking[[#This Row],[Type]]="Income",shift_late_income_status="Active",DAY(Tracking[[#This Row],[Date]])&gt;=shift_late_income_starting_day),DATE(YEAR(Tracking[[#This Row],[Date]]),MONTH(Tracking[[#This Row],[Date]])+1,1),Tracking[[#This Row],[Date]])</f>
        <v>45930</v>
      </c>
    </row>
    <row r="308" spans="3:9" hidden="1" x14ac:dyDescent="0.3">
      <c r="C308" s="41">
        <v>45932</v>
      </c>
      <c r="D308" s="39" t="s">
        <v>9</v>
      </c>
      <c r="E308" s="39" t="s">
        <v>108</v>
      </c>
      <c r="F308" s="139">
        <v>25</v>
      </c>
      <c r="G308" s="40" t="s">
        <v>261</v>
      </c>
      <c r="H308" s="43" cm="1">
        <f t="array" ref="H308">SUMPRODUCT(Tracking[Amount],--(Tracking[Date]&lt;=Tracking[[#This Row],[Date]]),(Tracking[Type]&lt;&gt;"Income")*(-1)+(Tracking[Type]="Income"))</f>
        <v>606.94999999999993</v>
      </c>
      <c r="I308" s="51">
        <f>IF(AND(Tracking[[#This Row],[Type]]="Income",shift_late_income_status="Active",DAY(Tracking[[#This Row],[Date]])&gt;=shift_late_income_starting_day),DATE(YEAR(Tracking[[#This Row],[Date]]),MONTH(Tracking[[#This Row],[Date]])+1,1),Tracking[[#This Row],[Date]])</f>
        <v>45932</v>
      </c>
    </row>
    <row r="309" spans="3:9" hidden="1" x14ac:dyDescent="0.3">
      <c r="C309" s="41">
        <v>45932</v>
      </c>
      <c r="D309" s="39" t="s">
        <v>9</v>
      </c>
      <c r="E309" s="39" t="s">
        <v>10</v>
      </c>
      <c r="F309" s="139">
        <f>2.78+2.15</f>
        <v>4.93</v>
      </c>
      <c r="G309" s="40" t="s">
        <v>262</v>
      </c>
      <c r="H309" s="43" cm="1">
        <f t="array" ref="H309">SUMPRODUCT(Tracking[Amount],--(Tracking[Date]&lt;=Tracking[[#This Row],[Date]]),(Tracking[Type]&lt;&gt;"Income")*(-1)+(Tracking[Type]="Income"))</f>
        <v>606.94999999999993</v>
      </c>
      <c r="I309" s="51">
        <f>IF(AND(Tracking[[#This Row],[Type]]="Income",shift_late_income_status="Active",DAY(Tracking[[#This Row],[Date]])&gt;=shift_late_income_starting_day),DATE(YEAR(Tracking[[#This Row],[Date]]),MONTH(Tracking[[#This Row],[Date]])+1,1),Tracking[[#This Row],[Date]])</f>
        <v>45932</v>
      </c>
    </row>
    <row r="310" spans="3:9" hidden="1" x14ac:dyDescent="0.3">
      <c r="C310" s="41">
        <v>45933</v>
      </c>
      <c r="D310" s="39" t="s">
        <v>5</v>
      </c>
      <c r="E310" s="39" t="s">
        <v>103</v>
      </c>
      <c r="F310" s="139">
        <v>738.92</v>
      </c>
      <c r="G310" s="40"/>
      <c r="H310" s="43" cm="1">
        <f t="array" ref="H310">SUMPRODUCT(Tracking[Amount],--(Tracking[Date]&lt;=Tracking[[#This Row],[Date]]),(Tracking[Type]&lt;&gt;"Income")*(-1)+(Tracking[Type]="Income"))</f>
        <v>799.86999999999989</v>
      </c>
      <c r="I310" s="51">
        <f>IF(AND(Tracking[[#This Row],[Type]]="Income",shift_late_income_status="Active",DAY(Tracking[[#This Row],[Date]])&gt;=shift_late_income_starting_day),DATE(YEAR(Tracking[[#This Row],[Date]]),MONTH(Tracking[[#This Row],[Date]])+1,1),Tracking[[#This Row],[Date]])</f>
        <v>45933</v>
      </c>
    </row>
    <row r="311" spans="3:9" hidden="1" x14ac:dyDescent="0.3">
      <c r="C311" s="41">
        <v>45933</v>
      </c>
      <c r="D311" s="39" t="s">
        <v>14</v>
      </c>
      <c r="E311" s="39" t="s">
        <v>110</v>
      </c>
      <c r="F311" s="139">
        <v>546</v>
      </c>
      <c r="G311" s="40"/>
      <c r="H311" s="43" cm="1">
        <f t="array" ref="H311">SUMPRODUCT(Tracking[Amount],--(Tracking[Date]&lt;=Tracking[[#This Row],[Date]]),(Tracking[Type]&lt;&gt;"Income")*(-1)+(Tracking[Type]="Income"))</f>
        <v>799.86999999999989</v>
      </c>
      <c r="I311" s="51">
        <f>IF(AND(Tracking[[#This Row],[Type]]="Income",shift_late_income_status="Active",DAY(Tracking[[#This Row],[Date]])&gt;=shift_late_income_starting_day),DATE(YEAR(Tracking[[#This Row],[Date]]),MONTH(Tracking[[#This Row],[Date]])+1,1),Tracking[[#This Row],[Date]])</f>
        <v>45933</v>
      </c>
    </row>
    <row r="312" spans="3:9" hidden="1" x14ac:dyDescent="0.3">
      <c r="C312" s="41">
        <v>45936</v>
      </c>
      <c r="D312" s="39" t="s">
        <v>9</v>
      </c>
      <c r="E312" s="39" t="s">
        <v>111</v>
      </c>
      <c r="F312" s="139">
        <v>151.34</v>
      </c>
      <c r="G312" s="40" t="s">
        <v>264</v>
      </c>
      <c r="H312" s="43" cm="1">
        <f t="array" ref="H312">SUMPRODUCT(Tracking[Amount],--(Tracking[Date]&lt;=Tracking[[#This Row],[Date]]),(Tracking[Type]&lt;&gt;"Income")*(-1)+(Tracking[Type]="Income"))</f>
        <v>627.82999999999981</v>
      </c>
      <c r="I312" s="51">
        <f>IF(AND(Tracking[[#This Row],[Type]]="Income",shift_late_income_status="Active",DAY(Tracking[[#This Row],[Date]])&gt;=shift_late_income_starting_day),DATE(YEAR(Tracking[[#This Row],[Date]]),MONTH(Tracking[[#This Row],[Date]])+1,1),Tracking[[#This Row],[Date]])</f>
        <v>45936</v>
      </c>
    </row>
    <row r="313" spans="3:9" hidden="1" x14ac:dyDescent="0.3">
      <c r="C313" s="41">
        <v>45936</v>
      </c>
      <c r="D313" s="39" t="s">
        <v>9</v>
      </c>
      <c r="E313" s="39" t="s">
        <v>111</v>
      </c>
      <c r="F313" s="139">
        <v>20.7</v>
      </c>
      <c r="G313" s="40" t="s">
        <v>265</v>
      </c>
      <c r="H313" s="43" cm="1">
        <f t="array" ref="H313">SUMPRODUCT(Tracking[Amount],--(Tracking[Date]&lt;=Tracking[[#This Row],[Date]]),(Tracking[Type]&lt;&gt;"Income")*(-1)+(Tracking[Type]="Income"))</f>
        <v>627.82999999999981</v>
      </c>
      <c r="I313" s="51">
        <f>IF(AND(Tracking[[#This Row],[Type]]="Income",shift_late_income_status="Active",DAY(Tracking[[#This Row],[Date]])&gt;=shift_late_income_starting_day),DATE(YEAR(Tracking[[#This Row],[Date]]),MONTH(Tracking[[#This Row],[Date]])+1,1),Tracking[[#This Row],[Date]])</f>
        <v>45936</v>
      </c>
    </row>
    <row r="314" spans="3:9" hidden="1" x14ac:dyDescent="0.3">
      <c r="C314" s="41">
        <v>45938</v>
      </c>
      <c r="D314" s="39" t="s">
        <v>9</v>
      </c>
      <c r="E314" s="39" t="s">
        <v>10</v>
      </c>
      <c r="F314" s="139">
        <v>8.9700000000000006</v>
      </c>
      <c r="G314" s="40" t="s">
        <v>145</v>
      </c>
      <c r="H314" s="43" cm="1">
        <f t="array" ref="H314">SUMPRODUCT(Tracking[Amount],--(Tracking[Date]&lt;=Tracking[[#This Row],[Date]]),(Tracking[Type]&lt;&gt;"Income")*(-1)+(Tracking[Type]="Income"))</f>
        <v>618.85999999999979</v>
      </c>
      <c r="I314" s="51">
        <f>IF(AND(Tracking[[#This Row],[Type]]="Income",shift_late_income_status="Active",DAY(Tracking[[#This Row],[Date]])&gt;=shift_late_income_starting_day),DATE(YEAR(Tracking[[#This Row],[Date]]),MONTH(Tracking[[#This Row],[Date]])+1,1),Tracking[[#This Row],[Date]])</f>
        <v>45938</v>
      </c>
    </row>
    <row r="315" spans="3:9" hidden="1" x14ac:dyDescent="0.3">
      <c r="C315" s="41">
        <v>45939</v>
      </c>
      <c r="D315" s="39" t="s">
        <v>9</v>
      </c>
      <c r="E315" s="39" t="s">
        <v>10</v>
      </c>
      <c r="F315" s="139">
        <v>8.65</v>
      </c>
      <c r="G315" s="40" t="s">
        <v>266</v>
      </c>
      <c r="H315" s="43" cm="1">
        <f t="array" ref="H315">SUMPRODUCT(Tracking[Amount],--(Tracking[Date]&lt;=Tracking[[#This Row],[Date]]),(Tracking[Type]&lt;&gt;"Income")*(-1)+(Tracking[Type]="Income"))</f>
        <v>610.20999999999981</v>
      </c>
      <c r="I315" s="51">
        <f>IF(AND(Tracking[[#This Row],[Type]]="Income",shift_late_income_status="Active",DAY(Tracking[[#This Row],[Date]])&gt;=shift_late_income_starting_day),DATE(YEAR(Tracking[[#This Row],[Date]]),MONTH(Tracking[[#This Row],[Date]])+1,1),Tracking[[#This Row],[Date]])</f>
        <v>45939</v>
      </c>
    </row>
    <row r="316" spans="3:9" hidden="1" x14ac:dyDescent="0.3">
      <c r="C316" s="41">
        <v>45940</v>
      </c>
      <c r="D316" s="39" t="s">
        <v>9</v>
      </c>
      <c r="E316" s="39" t="s">
        <v>10</v>
      </c>
      <c r="F316" s="139">
        <v>5.91</v>
      </c>
      <c r="G316" s="40" t="s">
        <v>259</v>
      </c>
      <c r="H316" s="43" cm="1">
        <f t="array" ref="H316">SUMPRODUCT(Tracking[Amount],--(Tracking[Date]&lt;=Tracking[[#This Row],[Date]]),(Tracking[Type]&lt;&gt;"Income")*(-1)+(Tracking[Type]="Income"))</f>
        <v>604.29999999999984</v>
      </c>
      <c r="I316" s="51">
        <f>IF(AND(Tracking[[#This Row],[Type]]="Income",shift_late_income_status="Active",DAY(Tracking[[#This Row],[Date]])&gt;=shift_late_income_starting_day),DATE(YEAR(Tracking[[#This Row],[Date]]),MONTH(Tracking[[#This Row],[Date]])+1,1),Tracking[[#This Row],[Date]])</f>
        <v>45940</v>
      </c>
    </row>
    <row r="317" spans="3:9" hidden="1" x14ac:dyDescent="0.3">
      <c r="C317" s="41">
        <v>45944</v>
      </c>
      <c r="D317" s="39" t="s">
        <v>9</v>
      </c>
      <c r="E317" s="39" t="s">
        <v>111</v>
      </c>
      <c r="F317" s="139">
        <v>4</v>
      </c>
      <c r="G317" s="40" t="s">
        <v>267</v>
      </c>
      <c r="H317" s="43" cm="1">
        <f t="array" ref="H317">SUMPRODUCT(Tracking[Amount],--(Tracking[Date]&lt;=Tracking[[#This Row],[Date]]),(Tracking[Type]&lt;&gt;"Income")*(-1)+(Tracking[Type]="Income"))</f>
        <v>508.15999999999991</v>
      </c>
      <c r="I317" s="51">
        <f>IF(AND(Tracking[[#This Row],[Type]]="Income",shift_late_income_status="Active",DAY(Tracking[[#This Row],[Date]])&gt;=shift_late_income_starting_day),DATE(YEAR(Tracking[[#This Row],[Date]]),MONTH(Tracking[[#This Row],[Date]])+1,1),Tracking[[#This Row],[Date]])</f>
        <v>45944</v>
      </c>
    </row>
    <row r="318" spans="3:9" hidden="1" x14ac:dyDescent="0.3">
      <c r="C318" s="41">
        <v>45944</v>
      </c>
      <c r="D318" s="39" t="s">
        <v>9</v>
      </c>
      <c r="E318" s="39" t="s">
        <v>10</v>
      </c>
      <c r="F318" s="139">
        <v>6.38</v>
      </c>
      <c r="G318" s="40" t="s">
        <v>145</v>
      </c>
      <c r="H318" s="43" cm="1">
        <f t="array" ref="H318">SUMPRODUCT(Tracking[Amount],--(Tracking[Date]&lt;=Tracking[[#This Row],[Date]]),(Tracking[Type]&lt;&gt;"Income")*(-1)+(Tracking[Type]="Income"))</f>
        <v>508.15999999999991</v>
      </c>
      <c r="I318" s="51">
        <f>IF(AND(Tracking[[#This Row],[Type]]="Income",shift_late_income_status="Active",DAY(Tracking[[#This Row],[Date]])&gt;=shift_late_income_starting_day),DATE(YEAR(Tracking[[#This Row],[Date]]),MONTH(Tracking[[#This Row],[Date]])+1,1),Tracking[[#This Row],[Date]])</f>
        <v>45944</v>
      </c>
    </row>
    <row r="319" spans="3:9" hidden="1" x14ac:dyDescent="0.3">
      <c r="C319" s="41">
        <v>45944</v>
      </c>
      <c r="D319" s="39" t="s">
        <v>9</v>
      </c>
      <c r="E319" s="39" t="s">
        <v>10</v>
      </c>
      <c r="F319" s="139">
        <v>6.78</v>
      </c>
      <c r="G319" s="40" t="s">
        <v>174</v>
      </c>
      <c r="H319" s="43" cm="1">
        <f t="array" ref="H319">SUMPRODUCT(Tracking[Amount],--(Tracking[Date]&lt;=Tracking[[#This Row],[Date]]),(Tracking[Type]&lt;&gt;"Income")*(-1)+(Tracking[Type]="Income"))</f>
        <v>508.15999999999991</v>
      </c>
      <c r="I319" s="51">
        <f>IF(AND(Tracking[[#This Row],[Type]]="Income",shift_late_income_status="Active",DAY(Tracking[[#This Row],[Date]])&gt;=shift_late_income_starting_day),DATE(YEAR(Tracking[[#This Row],[Date]]),MONTH(Tracking[[#This Row],[Date]])+1,1),Tracking[[#This Row],[Date]])</f>
        <v>45944</v>
      </c>
    </row>
    <row r="320" spans="3:9" hidden="1" x14ac:dyDescent="0.3">
      <c r="C320" s="41">
        <v>45944</v>
      </c>
      <c r="D320" s="39" t="s">
        <v>9</v>
      </c>
      <c r="E320" s="39" t="s">
        <v>10</v>
      </c>
      <c r="F320" s="139">
        <v>10.06</v>
      </c>
      <c r="G320" s="40" t="s">
        <v>145</v>
      </c>
      <c r="H320" s="43" cm="1">
        <f t="array" ref="H320">SUMPRODUCT(Tracking[Amount],--(Tracking[Date]&lt;=Tracking[[#This Row],[Date]]),(Tracking[Type]&lt;&gt;"Income")*(-1)+(Tracking[Type]="Income"))</f>
        <v>508.15999999999991</v>
      </c>
      <c r="I320" s="51">
        <f>IF(AND(Tracking[[#This Row],[Type]]="Income",shift_late_income_status="Active",DAY(Tracking[[#This Row],[Date]])&gt;=shift_late_income_starting_day),DATE(YEAR(Tracking[[#This Row],[Date]]),MONTH(Tracking[[#This Row],[Date]])+1,1),Tracking[[#This Row],[Date]])</f>
        <v>45944</v>
      </c>
    </row>
    <row r="321" spans="3:9" hidden="1" x14ac:dyDescent="0.3">
      <c r="C321" s="41">
        <v>45944</v>
      </c>
      <c r="D321" s="39" t="s">
        <v>9</v>
      </c>
      <c r="E321" s="39" t="s">
        <v>10</v>
      </c>
      <c r="F321" s="139">
        <v>11.3</v>
      </c>
      <c r="G321" s="40" t="s">
        <v>219</v>
      </c>
      <c r="H321" s="43" cm="1">
        <f t="array" ref="H321">SUMPRODUCT(Tracking[Amount],--(Tracking[Date]&lt;=Tracking[[#This Row],[Date]]),(Tracking[Type]&lt;&gt;"Income")*(-1)+(Tracking[Type]="Income"))</f>
        <v>508.15999999999991</v>
      </c>
      <c r="I321" s="51">
        <f>IF(AND(Tracking[[#This Row],[Type]]="Income",shift_late_income_status="Active",DAY(Tracking[[#This Row],[Date]])&gt;=shift_late_income_starting_day),DATE(YEAR(Tracking[[#This Row],[Date]]),MONTH(Tracking[[#This Row],[Date]])+1,1),Tracking[[#This Row],[Date]])</f>
        <v>45944</v>
      </c>
    </row>
    <row r="322" spans="3:9" hidden="1" x14ac:dyDescent="0.3">
      <c r="C322" s="41">
        <v>45944</v>
      </c>
      <c r="D322" s="39" t="s">
        <v>9</v>
      </c>
      <c r="E322" s="39" t="s">
        <v>10</v>
      </c>
      <c r="F322" s="139">
        <v>22.71</v>
      </c>
      <c r="G322" s="40" t="s">
        <v>177</v>
      </c>
      <c r="H322" s="43" cm="1">
        <f t="array" ref="H322">SUMPRODUCT(Tracking[Amount],--(Tracking[Date]&lt;=Tracking[[#This Row],[Date]]),(Tracking[Type]&lt;&gt;"Income")*(-1)+(Tracking[Type]="Income"))</f>
        <v>508.15999999999991</v>
      </c>
      <c r="I322" s="51">
        <f>IF(AND(Tracking[[#This Row],[Type]]="Income",shift_late_income_status="Active",DAY(Tracking[[#This Row],[Date]])&gt;=shift_late_income_starting_day),DATE(YEAR(Tracking[[#This Row],[Date]]),MONTH(Tracking[[#This Row],[Date]])+1,1),Tracking[[#This Row],[Date]])</f>
        <v>45944</v>
      </c>
    </row>
    <row r="323" spans="3:9" hidden="1" x14ac:dyDescent="0.3">
      <c r="C323" s="41">
        <v>45944</v>
      </c>
      <c r="D323" s="39" t="s">
        <v>9</v>
      </c>
      <c r="E323" s="39" t="s">
        <v>111</v>
      </c>
      <c r="F323" s="139">
        <v>29</v>
      </c>
      <c r="G323" s="40" t="s">
        <v>268</v>
      </c>
      <c r="H323" s="43" cm="1">
        <f t="array" ref="H323">SUMPRODUCT(Tracking[Amount],--(Tracking[Date]&lt;=Tracking[[#This Row],[Date]]),(Tracking[Type]&lt;&gt;"Income")*(-1)+(Tracking[Type]="Income"))</f>
        <v>508.15999999999991</v>
      </c>
      <c r="I323" s="51">
        <f>IF(AND(Tracking[[#This Row],[Type]]="Income",shift_late_income_status="Active",DAY(Tracking[[#This Row],[Date]])&gt;=shift_late_income_starting_day),DATE(YEAR(Tracking[[#This Row],[Date]]),MONTH(Tracking[[#This Row],[Date]])+1,1),Tracking[[#This Row],[Date]])</f>
        <v>45944</v>
      </c>
    </row>
    <row r="324" spans="3:9" hidden="1" x14ac:dyDescent="0.3">
      <c r="C324" s="41">
        <v>45944</v>
      </c>
      <c r="D324" s="39" t="s">
        <v>9</v>
      </c>
      <c r="E324" s="39" t="s">
        <v>10</v>
      </c>
      <c r="F324" s="139">
        <v>5.91</v>
      </c>
      <c r="G324" s="40" t="s">
        <v>259</v>
      </c>
      <c r="H324" s="43" cm="1">
        <f t="array" ref="H324">SUMPRODUCT(Tracking[Amount],--(Tracking[Date]&lt;=Tracking[[#This Row],[Date]]),(Tracking[Type]&lt;&gt;"Income")*(-1)+(Tracking[Type]="Income"))</f>
        <v>508.15999999999991</v>
      </c>
      <c r="I324" s="51">
        <f>IF(AND(Tracking[[#This Row],[Type]]="Income",shift_late_income_status="Active",DAY(Tracking[[#This Row],[Date]])&gt;=shift_late_income_starting_day),DATE(YEAR(Tracking[[#This Row],[Date]]),MONTH(Tracking[[#This Row],[Date]])+1,1),Tracking[[#This Row],[Date]])</f>
        <v>45944</v>
      </c>
    </row>
    <row r="325" spans="3:9" hidden="1" x14ac:dyDescent="0.3">
      <c r="C325" s="41">
        <v>45945</v>
      </c>
      <c r="D325" s="39" t="s">
        <v>5</v>
      </c>
      <c r="E325" s="39" t="s">
        <v>104</v>
      </c>
      <c r="F325" s="139">
        <v>11.05</v>
      </c>
      <c r="G325" s="40"/>
      <c r="H325" s="43" cm="1">
        <f t="array" ref="H325">SUMPRODUCT(Tracking[Amount],--(Tracking[Date]&lt;=Tracking[[#This Row],[Date]]),(Tracking[Type]&lt;&gt;"Income")*(-1)+(Tracking[Type]="Income"))</f>
        <v>508.15999999999991</v>
      </c>
      <c r="I325" s="51">
        <f>IF(AND(Tracking[[#This Row],[Type]]="Income",shift_late_income_status="Active",DAY(Tracking[[#This Row],[Date]])&gt;=shift_late_income_starting_day),DATE(YEAR(Tracking[[#This Row],[Date]]),MONTH(Tracking[[#This Row],[Date]])+1,1),Tracking[[#This Row],[Date]])</f>
        <v>45945</v>
      </c>
    </row>
    <row r="326" spans="3:9" hidden="1" x14ac:dyDescent="0.3">
      <c r="C326" s="41">
        <v>45945</v>
      </c>
      <c r="D326" s="39" t="s">
        <v>14</v>
      </c>
      <c r="E326" s="39" t="s">
        <v>110</v>
      </c>
      <c r="F326" s="139">
        <v>11.05</v>
      </c>
      <c r="G326" s="40"/>
      <c r="H326" s="43" cm="1">
        <f t="array" ref="H326">SUMPRODUCT(Tracking[Amount],--(Tracking[Date]&lt;=Tracking[[#This Row],[Date]]),(Tracking[Type]&lt;&gt;"Income")*(-1)+(Tracking[Type]="Income"))</f>
        <v>508.15999999999991</v>
      </c>
      <c r="I326" s="51">
        <f>IF(AND(Tracking[[#This Row],[Type]]="Income",shift_late_income_status="Active",DAY(Tracking[[#This Row],[Date]])&gt;=shift_late_income_starting_day),DATE(YEAR(Tracking[[#This Row],[Date]]),MONTH(Tracking[[#This Row],[Date]])+1,1),Tracking[[#This Row],[Date]])</f>
        <v>45945</v>
      </c>
    </row>
    <row r="327" spans="3:9" hidden="1" x14ac:dyDescent="0.3">
      <c r="C327" s="41">
        <v>45946</v>
      </c>
      <c r="D327" s="39" t="s">
        <v>9</v>
      </c>
      <c r="E327" s="39" t="s">
        <v>10</v>
      </c>
      <c r="F327" s="139">
        <v>16.89</v>
      </c>
      <c r="G327" s="40" t="s">
        <v>252</v>
      </c>
      <c r="H327" s="43" cm="1">
        <f t="array" ref="H327">SUMPRODUCT(Tracking[Amount],--(Tracking[Date]&lt;=Tracking[[#This Row],[Date]]),(Tracking[Type]&lt;&gt;"Income")*(-1)+(Tracking[Type]="Income"))</f>
        <v>491.26999999999992</v>
      </c>
      <c r="I327" s="51">
        <f>IF(AND(Tracking[[#This Row],[Type]]="Income",shift_late_income_status="Active",DAY(Tracking[[#This Row],[Date]])&gt;=shift_late_income_starting_day),DATE(YEAR(Tracking[[#This Row],[Date]]),MONTH(Tracking[[#This Row],[Date]])+1,1),Tracking[[#This Row],[Date]])</f>
        <v>45946</v>
      </c>
    </row>
    <row r="328" spans="3:9" hidden="1" x14ac:dyDescent="0.3">
      <c r="C328" s="41">
        <v>45947</v>
      </c>
      <c r="D328" s="39" t="s">
        <v>9</v>
      </c>
      <c r="E328" s="39" t="s">
        <v>111</v>
      </c>
      <c r="F328" s="139">
        <v>5</v>
      </c>
      <c r="G328" s="40"/>
      <c r="H328" s="43" cm="1">
        <f t="array" ref="H328">SUMPRODUCT(Tracking[Amount],--(Tracking[Date]&lt;=Tracking[[#This Row],[Date]]),(Tracking[Type]&lt;&gt;"Income")*(-1)+(Tracking[Type]="Income"))</f>
        <v>800.2199999999998</v>
      </c>
      <c r="I328" s="51">
        <f>IF(AND(Tracking[[#This Row],[Type]]="Income",shift_late_income_status="Active",DAY(Tracking[[#This Row],[Date]])&gt;=shift_late_income_starting_day),DATE(YEAR(Tracking[[#This Row],[Date]]),MONTH(Tracking[[#This Row],[Date]])+1,1),Tracking[[#This Row],[Date]])</f>
        <v>45947</v>
      </c>
    </row>
    <row r="329" spans="3:9" hidden="1" x14ac:dyDescent="0.3">
      <c r="C329" s="41">
        <v>45947</v>
      </c>
      <c r="D329" s="39" t="s">
        <v>9</v>
      </c>
      <c r="E329" s="39" t="s">
        <v>10</v>
      </c>
      <c r="F329" s="139">
        <v>26.42</v>
      </c>
      <c r="G329" s="40" t="s">
        <v>269</v>
      </c>
      <c r="H329" s="43" cm="1">
        <f t="array" ref="H329">SUMPRODUCT(Tracking[Amount],--(Tracking[Date]&lt;=Tracking[[#This Row],[Date]]),(Tracking[Type]&lt;&gt;"Income")*(-1)+(Tracking[Type]="Income"))</f>
        <v>800.2199999999998</v>
      </c>
      <c r="I329" s="51">
        <f>IF(AND(Tracking[[#This Row],[Type]]="Income",shift_late_income_status="Active",DAY(Tracking[[#This Row],[Date]])&gt;=shift_late_income_starting_day),DATE(YEAR(Tracking[[#This Row],[Date]]),MONTH(Tracking[[#This Row],[Date]])+1,1),Tracking[[#This Row],[Date]])</f>
        <v>45947</v>
      </c>
    </row>
    <row r="330" spans="3:9" hidden="1" x14ac:dyDescent="0.3">
      <c r="C330" s="41">
        <v>45947</v>
      </c>
      <c r="D330" s="39" t="s">
        <v>5</v>
      </c>
      <c r="E330" s="39" t="s">
        <v>103</v>
      </c>
      <c r="F330" s="139">
        <v>666.37</v>
      </c>
      <c r="G330" s="40"/>
      <c r="H330" s="43" cm="1">
        <f t="array" ref="H330">SUMPRODUCT(Tracking[Amount],--(Tracking[Date]&lt;=Tracking[[#This Row],[Date]]),(Tracking[Type]&lt;&gt;"Income")*(-1)+(Tracking[Type]="Income"))</f>
        <v>800.2199999999998</v>
      </c>
      <c r="I330" s="51">
        <f>IF(AND(Tracking[[#This Row],[Type]]="Income",shift_late_income_status="Active",DAY(Tracking[[#This Row],[Date]])&gt;=shift_late_income_starting_day),DATE(YEAR(Tracking[[#This Row],[Date]]),MONTH(Tracking[[#This Row],[Date]])+1,1),Tracking[[#This Row],[Date]])</f>
        <v>45947</v>
      </c>
    </row>
    <row r="331" spans="3:9" hidden="1" x14ac:dyDescent="0.3">
      <c r="C331" s="41">
        <v>45947</v>
      </c>
      <c r="D331" s="39" t="s">
        <v>14</v>
      </c>
      <c r="E331" s="39" t="s">
        <v>157</v>
      </c>
      <c r="F331" s="139">
        <v>163</v>
      </c>
      <c r="G331" s="40"/>
      <c r="H331" s="43" cm="1">
        <f t="array" ref="H331">SUMPRODUCT(Tracking[Amount],--(Tracking[Date]&lt;=Tracking[[#This Row],[Date]]),(Tracking[Type]&lt;&gt;"Income")*(-1)+(Tracking[Type]="Income"))</f>
        <v>800.2199999999998</v>
      </c>
      <c r="I331" s="51">
        <f>IF(AND(Tracking[[#This Row],[Type]]="Income",shift_late_income_status="Active",DAY(Tracking[[#This Row],[Date]])&gt;=shift_late_income_starting_day),DATE(YEAR(Tracking[[#This Row],[Date]]),MONTH(Tracking[[#This Row],[Date]])+1,1),Tracking[[#This Row],[Date]])</f>
        <v>45947</v>
      </c>
    </row>
    <row r="332" spans="3:9" hidden="1" x14ac:dyDescent="0.3">
      <c r="C332" s="41">
        <v>45947</v>
      </c>
      <c r="D332" s="39" t="s">
        <v>14</v>
      </c>
      <c r="E332" s="39" t="s">
        <v>110</v>
      </c>
      <c r="F332" s="139">
        <v>163</v>
      </c>
      <c r="G332" s="40"/>
      <c r="H332" s="43" cm="1">
        <f t="array" ref="H332">SUMPRODUCT(Tracking[Amount],--(Tracking[Date]&lt;=Tracking[[#This Row],[Date]]),(Tracking[Type]&lt;&gt;"Income")*(-1)+(Tracking[Type]="Income"))</f>
        <v>800.2199999999998</v>
      </c>
      <c r="I332" s="51">
        <f>IF(AND(Tracking[[#This Row],[Type]]="Income",shift_late_income_status="Active",DAY(Tracking[[#This Row],[Date]])&gt;=shift_late_income_starting_day),DATE(YEAR(Tracking[[#This Row],[Date]]),MONTH(Tracking[[#This Row],[Date]])+1,1),Tracking[[#This Row],[Date]])</f>
        <v>45947</v>
      </c>
    </row>
    <row r="333" spans="3:9" hidden="1" x14ac:dyDescent="0.3">
      <c r="C333" s="41">
        <v>45950</v>
      </c>
      <c r="D333" s="39" t="s">
        <v>9</v>
      </c>
      <c r="E333" s="39" t="s">
        <v>111</v>
      </c>
      <c r="F333" s="139">
        <v>5</v>
      </c>
      <c r="G333" s="40"/>
      <c r="H333" s="43" cm="1">
        <f t="array" ref="H333">SUMPRODUCT(Tracking[Amount],--(Tracking[Date]&lt;=Tracking[[#This Row],[Date]]),(Tracking[Type]&lt;&gt;"Income")*(-1)+(Tracking[Type]="Income"))</f>
        <v>700.66999999999973</v>
      </c>
      <c r="I333" s="51">
        <f>IF(AND(Tracking[[#This Row],[Type]]="Income",shift_late_income_status="Active",DAY(Tracking[[#This Row],[Date]])&gt;=shift_late_income_starting_day),DATE(YEAR(Tracking[[#This Row],[Date]]),MONTH(Tracking[[#This Row],[Date]])+1,1),Tracking[[#This Row],[Date]])</f>
        <v>45950</v>
      </c>
    </row>
    <row r="334" spans="3:9" hidden="1" x14ac:dyDescent="0.3">
      <c r="C334" s="41">
        <v>45950</v>
      </c>
      <c r="D334" s="39" t="s">
        <v>9</v>
      </c>
      <c r="E334" s="39" t="s">
        <v>10</v>
      </c>
      <c r="F334" s="139">
        <v>13.82</v>
      </c>
      <c r="G334" s="40" t="s">
        <v>257</v>
      </c>
      <c r="H334" s="43" cm="1">
        <f t="array" ref="H334">SUMPRODUCT(Tracking[Amount],--(Tracking[Date]&lt;=Tracking[[#This Row],[Date]]),(Tracking[Type]&lt;&gt;"Income")*(-1)+(Tracking[Type]="Income"))</f>
        <v>700.66999999999973</v>
      </c>
      <c r="I334" s="51">
        <f>IF(AND(Tracking[[#This Row],[Type]]="Income",shift_late_income_status="Active",DAY(Tracking[[#This Row],[Date]])&gt;=shift_late_income_starting_day),DATE(YEAR(Tracking[[#This Row],[Date]]),MONTH(Tracking[[#This Row],[Date]])+1,1),Tracking[[#This Row],[Date]])</f>
        <v>45950</v>
      </c>
    </row>
    <row r="335" spans="3:9" hidden="1" x14ac:dyDescent="0.3">
      <c r="C335" s="41">
        <v>45950</v>
      </c>
      <c r="D335" s="39" t="s">
        <v>9</v>
      </c>
      <c r="E335" s="39" t="s">
        <v>10</v>
      </c>
      <c r="F335" s="139">
        <v>13.82</v>
      </c>
      <c r="G335" s="40" t="s">
        <v>257</v>
      </c>
      <c r="H335" s="43" cm="1">
        <f t="array" ref="H335">SUMPRODUCT(Tracking[Amount],--(Tracking[Date]&lt;=Tracking[[#This Row],[Date]]),(Tracking[Type]&lt;&gt;"Income")*(-1)+(Tracking[Type]="Income"))</f>
        <v>700.66999999999973</v>
      </c>
      <c r="I335" s="51">
        <f>IF(AND(Tracking[[#This Row],[Type]]="Income",shift_late_income_status="Active",DAY(Tracking[[#This Row],[Date]])&gt;=shift_late_income_starting_day),DATE(YEAR(Tracking[[#This Row],[Date]]),MONTH(Tracking[[#This Row],[Date]])+1,1),Tracking[[#This Row],[Date]])</f>
        <v>45950</v>
      </c>
    </row>
    <row r="336" spans="3:9" hidden="1" x14ac:dyDescent="0.3">
      <c r="C336" s="41">
        <v>45950</v>
      </c>
      <c r="D336" s="39" t="s">
        <v>9</v>
      </c>
      <c r="E336" s="39" t="s">
        <v>10</v>
      </c>
      <c r="F336" s="139">
        <v>20.309999999999999</v>
      </c>
      <c r="G336" s="40" t="s">
        <v>145</v>
      </c>
      <c r="H336" s="43" cm="1">
        <f t="array" ref="H336">SUMPRODUCT(Tracking[Amount],--(Tracking[Date]&lt;=Tracking[[#This Row],[Date]]),(Tracking[Type]&lt;&gt;"Income")*(-1)+(Tracking[Type]="Income"))</f>
        <v>700.66999999999973</v>
      </c>
      <c r="I336" s="51">
        <f>IF(AND(Tracking[[#This Row],[Type]]="Income",shift_late_income_status="Active",DAY(Tracking[[#This Row],[Date]])&gt;=shift_late_income_starting_day),DATE(YEAR(Tracking[[#This Row],[Date]]),MONTH(Tracking[[#This Row],[Date]])+1,1),Tracking[[#This Row],[Date]])</f>
        <v>45950</v>
      </c>
    </row>
    <row r="337" spans="3:9" hidden="1" x14ac:dyDescent="0.3">
      <c r="C337" s="41">
        <v>45950</v>
      </c>
      <c r="D337" s="39" t="s">
        <v>9</v>
      </c>
      <c r="E337" s="39" t="s">
        <v>111</v>
      </c>
      <c r="F337" s="139">
        <v>21.62</v>
      </c>
      <c r="G337" s="40" t="s">
        <v>270</v>
      </c>
      <c r="H337" s="43" cm="1">
        <f t="array" ref="H337">SUMPRODUCT(Tracking[Amount],--(Tracking[Date]&lt;=Tracking[[#This Row],[Date]]),(Tracking[Type]&lt;&gt;"Income")*(-1)+(Tracking[Type]="Income"))</f>
        <v>700.66999999999973</v>
      </c>
      <c r="I337" s="51">
        <f>IF(AND(Tracking[[#This Row],[Type]]="Income",shift_late_income_status="Active",DAY(Tracking[[#This Row],[Date]])&gt;=shift_late_income_starting_day),DATE(YEAR(Tracking[[#This Row],[Date]]),MONTH(Tracking[[#This Row],[Date]])+1,1),Tracking[[#This Row],[Date]])</f>
        <v>45950</v>
      </c>
    </row>
    <row r="338" spans="3:9" hidden="1" x14ac:dyDescent="0.3">
      <c r="C338" s="41">
        <v>45950</v>
      </c>
      <c r="D338" s="39" t="s">
        <v>9</v>
      </c>
      <c r="E338" s="39" t="s">
        <v>10</v>
      </c>
      <c r="F338" s="139">
        <v>24.98</v>
      </c>
      <c r="G338" s="40" t="s">
        <v>249</v>
      </c>
      <c r="H338" s="43" cm="1">
        <f t="array" ref="H338">SUMPRODUCT(Tracking[Amount],--(Tracking[Date]&lt;=Tracking[[#This Row],[Date]]),(Tracking[Type]&lt;&gt;"Income")*(-1)+(Tracking[Type]="Income"))</f>
        <v>700.66999999999973</v>
      </c>
      <c r="I338" s="51">
        <f>IF(AND(Tracking[[#This Row],[Type]]="Income",shift_late_income_status="Active",DAY(Tracking[[#This Row],[Date]])&gt;=shift_late_income_starting_day),DATE(YEAR(Tracking[[#This Row],[Date]]),MONTH(Tracking[[#This Row],[Date]])+1,1),Tracking[[#This Row],[Date]])</f>
        <v>45950</v>
      </c>
    </row>
    <row r="339" spans="3:9" hidden="1" x14ac:dyDescent="0.3">
      <c r="C339" s="41">
        <v>45952</v>
      </c>
      <c r="D339" s="39" t="s">
        <v>9</v>
      </c>
      <c r="E339" s="39" t="s">
        <v>10</v>
      </c>
      <c r="F339" s="139">
        <v>11.85</v>
      </c>
      <c r="G339" s="40" t="s">
        <v>171</v>
      </c>
      <c r="H339" s="43" cm="1">
        <f t="array" ref="H339">SUMPRODUCT(Tracking[Amount],--(Tracking[Date]&lt;=Tracking[[#This Row],[Date]]),(Tracking[Type]&lt;&gt;"Income")*(-1)+(Tracking[Type]="Income"))</f>
        <v>688.81999999999971</v>
      </c>
      <c r="I339" s="51">
        <f>IF(AND(Tracking[[#This Row],[Type]]="Income",shift_late_income_status="Active",DAY(Tracking[[#This Row],[Date]])&gt;=shift_late_income_starting_day),DATE(YEAR(Tracking[[#This Row],[Date]]),MONTH(Tracking[[#This Row],[Date]])+1,1),Tracking[[#This Row],[Date]])</f>
        <v>45952</v>
      </c>
    </row>
    <row r="340" spans="3:9" hidden="1" x14ac:dyDescent="0.3">
      <c r="C340" s="41">
        <v>45953</v>
      </c>
      <c r="D340" s="39" t="s">
        <v>9</v>
      </c>
      <c r="E340" s="39" t="s">
        <v>10</v>
      </c>
      <c r="F340" s="139">
        <v>5.82</v>
      </c>
      <c r="G340" s="40" t="s">
        <v>173</v>
      </c>
      <c r="H340" s="43" cm="1">
        <f t="array" ref="H340">SUMPRODUCT(Tracking[Amount],--(Tracking[Date]&lt;=Tracking[[#This Row],[Date]]),(Tracking[Type]&lt;&gt;"Income")*(-1)+(Tracking[Type]="Income"))</f>
        <v>642.98999999999967</v>
      </c>
      <c r="I340" s="51">
        <f>IF(AND(Tracking[[#This Row],[Type]]="Income",shift_late_income_status="Active",DAY(Tracking[[#This Row],[Date]])&gt;=shift_late_income_starting_day),DATE(YEAR(Tracking[[#This Row],[Date]]),MONTH(Tracking[[#This Row],[Date]])+1,1),Tracking[[#This Row],[Date]])</f>
        <v>45953</v>
      </c>
    </row>
    <row r="341" spans="3:9" hidden="1" x14ac:dyDescent="0.3">
      <c r="C341" s="41">
        <v>45953</v>
      </c>
      <c r="D341" s="39" t="s">
        <v>9</v>
      </c>
      <c r="E341" s="39" t="s">
        <v>111</v>
      </c>
      <c r="F341" s="139">
        <v>9</v>
      </c>
      <c r="G341" s="40"/>
      <c r="H341" s="43" cm="1">
        <f t="array" ref="H341">SUMPRODUCT(Tracking[Amount],--(Tracking[Date]&lt;=Tracking[[#This Row],[Date]]),(Tracking[Type]&lt;&gt;"Income")*(-1)+(Tracking[Type]="Income"))</f>
        <v>642.98999999999967</v>
      </c>
      <c r="I341" s="51">
        <f>IF(AND(Tracking[[#This Row],[Type]]="Income",shift_late_income_status="Active",DAY(Tracking[[#This Row],[Date]])&gt;=shift_late_income_starting_day),DATE(YEAR(Tracking[[#This Row],[Date]]),MONTH(Tracking[[#This Row],[Date]])+1,1),Tracking[[#This Row],[Date]])</f>
        <v>45953</v>
      </c>
    </row>
    <row r="342" spans="3:9" hidden="1" x14ac:dyDescent="0.3">
      <c r="C342" s="41">
        <v>45953</v>
      </c>
      <c r="D342" s="39" t="s">
        <v>9</v>
      </c>
      <c r="E342" s="39" t="s">
        <v>10</v>
      </c>
      <c r="F342" s="139">
        <v>31.01</v>
      </c>
      <c r="G342" s="40" t="s">
        <v>248</v>
      </c>
      <c r="H342" s="43" cm="1">
        <f t="array" ref="H342">SUMPRODUCT(Tracking[Amount],--(Tracking[Date]&lt;=Tracking[[#This Row],[Date]]),(Tracking[Type]&lt;&gt;"Income")*(-1)+(Tracking[Type]="Income"))</f>
        <v>642.98999999999967</v>
      </c>
      <c r="I342" s="51">
        <f>IF(AND(Tracking[[#This Row],[Type]]="Income",shift_late_income_status="Active",DAY(Tracking[[#This Row],[Date]])&gt;=shift_late_income_starting_day),DATE(YEAR(Tracking[[#This Row],[Date]]),MONTH(Tracking[[#This Row],[Date]])+1,1),Tracking[[#This Row],[Date]])</f>
        <v>45953</v>
      </c>
    </row>
    <row r="343" spans="3:9" hidden="1" x14ac:dyDescent="0.3">
      <c r="C343" s="41">
        <v>45954</v>
      </c>
      <c r="D343" s="39" t="s">
        <v>9</v>
      </c>
      <c r="E343" s="39" t="s">
        <v>10</v>
      </c>
      <c r="F343" s="139">
        <v>12.76</v>
      </c>
      <c r="G343" s="40" t="s">
        <v>173</v>
      </c>
      <c r="H343" s="43" cm="1">
        <f t="array" ref="H343">SUMPRODUCT(Tracking[Amount],--(Tracking[Date]&lt;=Tracking[[#This Row],[Date]]),(Tracking[Type]&lt;&gt;"Income")*(-1)+(Tracking[Type]="Income"))</f>
        <v>630.22999999999968</v>
      </c>
      <c r="I343" s="51">
        <f>IF(AND(Tracking[[#This Row],[Type]]="Income",shift_late_income_status="Active",DAY(Tracking[[#This Row],[Date]])&gt;=shift_late_income_starting_day),DATE(YEAR(Tracking[[#This Row],[Date]]),MONTH(Tracking[[#This Row],[Date]])+1,1),Tracking[[#This Row],[Date]])</f>
        <v>45954</v>
      </c>
    </row>
    <row r="344" spans="3:9" hidden="1" x14ac:dyDescent="0.3">
      <c r="C344" s="41">
        <v>45957</v>
      </c>
      <c r="D344" s="39" t="s">
        <v>9</v>
      </c>
      <c r="E344" s="39" t="s">
        <v>10</v>
      </c>
      <c r="F344" s="139">
        <v>10.06</v>
      </c>
      <c r="G344" s="40" t="s">
        <v>271</v>
      </c>
      <c r="H344" s="43" cm="1">
        <f t="array" ref="H344">SUMPRODUCT(Tracking[Amount],--(Tracking[Date]&lt;=Tracking[[#This Row],[Date]]),(Tracking[Type]&lt;&gt;"Income")*(-1)+(Tracking[Type]="Income"))</f>
        <v>500.37999999999977</v>
      </c>
      <c r="I344" s="51">
        <f>IF(AND(Tracking[[#This Row],[Type]]="Income",shift_late_income_status="Active",DAY(Tracking[[#This Row],[Date]])&gt;=shift_late_income_starting_day),DATE(YEAR(Tracking[[#This Row],[Date]]),MONTH(Tracking[[#This Row],[Date]])+1,1),Tracking[[#This Row],[Date]])</f>
        <v>45957</v>
      </c>
    </row>
    <row r="345" spans="3:9" hidden="1" x14ac:dyDescent="0.3">
      <c r="C345" s="41">
        <v>45957</v>
      </c>
      <c r="D345" s="39" t="s">
        <v>9</v>
      </c>
      <c r="E345" s="39" t="s">
        <v>10</v>
      </c>
      <c r="F345" s="139">
        <v>5.52</v>
      </c>
      <c r="G345" s="40" t="s">
        <v>272</v>
      </c>
      <c r="H345" s="43" cm="1">
        <f t="array" ref="H345">SUMPRODUCT(Tracking[Amount],--(Tracking[Date]&lt;=Tracking[[#This Row],[Date]]),(Tracking[Type]&lt;&gt;"Income")*(-1)+(Tracking[Type]="Income"))</f>
        <v>500.37999999999977</v>
      </c>
      <c r="I345" s="51">
        <f>IF(AND(Tracking[[#This Row],[Type]]="Income",shift_late_income_status="Active",DAY(Tracking[[#This Row],[Date]])&gt;=shift_late_income_starting_day),DATE(YEAR(Tracking[[#This Row],[Date]]),MONTH(Tracking[[#This Row],[Date]])+1,1),Tracking[[#This Row],[Date]])</f>
        <v>45957</v>
      </c>
    </row>
    <row r="346" spans="3:9" hidden="1" x14ac:dyDescent="0.3">
      <c r="C346" s="41">
        <v>45957</v>
      </c>
      <c r="D346" s="39" t="s">
        <v>9</v>
      </c>
      <c r="E346" s="39" t="s">
        <v>10</v>
      </c>
      <c r="F346" s="139">
        <v>7.58</v>
      </c>
      <c r="G346" s="40" t="s">
        <v>272</v>
      </c>
      <c r="H346" s="43" cm="1">
        <f t="array" ref="H346">SUMPRODUCT(Tracking[Amount],--(Tracking[Date]&lt;=Tracking[[#This Row],[Date]]),(Tracking[Type]&lt;&gt;"Income")*(-1)+(Tracking[Type]="Income"))</f>
        <v>500.37999999999977</v>
      </c>
      <c r="I346" s="51">
        <f>IF(AND(Tracking[[#This Row],[Type]]="Income",shift_late_income_status="Active",DAY(Tracking[[#This Row],[Date]])&gt;=shift_late_income_starting_day),DATE(YEAR(Tracking[[#This Row],[Date]]),MONTH(Tracking[[#This Row],[Date]])+1,1),Tracking[[#This Row],[Date]])</f>
        <v>45957</v>
      </c>
    </row>
    <row r="347" spans="3:9" hidden="1" x14ac:dyDescent="0.3">
      <c r="C347" s="41">
        <v>45957</v>
      </c>
      <c r="D347" s="39" t="s">
        <v>9</v>
      </c>
      <c r="E347" s="39" t="s">
        <v>108</v>
      </c>
      <c r="F347" s="139">
        <v>7.77</v>
      </c>
      <c r="G347" s="40" t="s">
        <v>174</v>
      </c>
      <c r="H347" s="43" cm="1">
        <f t="array" ref="H347">SUMPRODUCT(Tracking[Amount],--(Tracking[Date]&lt;=Tracking[[#This Row],[Date]]),(Tracking[Type]&lt;&gt;"Income")*(-1)+(Tracking[Type]="Income"))</f>
        <v>500.37999999999977</v>
      </c>
      <c r="I347" s="51">
        <f>IF(AND(Tracking[[#This Row],[Type]]="Income",shift_late_income_status="Active",DAY(Tracking[[#This Row],[Date]])&gt;=shift_late_income_starting_day),DATE(YEAR(Tracking[[#This Row],[Date]]),MONTH(Tracking[[#This Row],[Date]])+1,1),Tracking[[#This Row],[Date]])</f>
        <v>45957</v>
      </c>
    </row>
    <row r="348" spans="3:9" hidden="1" x14ac:dyDescent="0.3">
      <c r="C348" s="41">
        <v>45957</v>
      </c>
      <c r="D348" s="39" t="s">
        <v>9</v>
      </c>
      <c r="E348" s="39" t="s">
        <v>10</v>
      </c>
      <c r="F348" s="139">
        <v>10.06</v>
      </c>
      <c r="G348" s="40" t="s">
        <v>271</v>
      </c>
      <c r="H348" s="43" cm="1">
        <f t="array" ref="H348">SUMPRODUCT(Tracking[Amount],--(Tracking[Date]&lt;=Tracking[[#This Row],[Date]]),(Tracking[Type]&lt;&gt;"Income")*(-1)+(Tracking[Type]="Income"))</f>
        <v>500.37999999999977</v>
      </c>
      <c r="I348" s="51">
        <f>IF(AND(Tracking[[#This Row],[Type]]="Income",shift_late_income_status="Active",DAY(Tracking[[#This Row],[Date]])&gt;=shift_late_income_starting_day),DATE(YEAR(Tracking[[#This Row],[Date]]),MONTH(Tracking[[#This Row],[Date]])+1,1),Tracking[[#This Row],[Date]])</f>
        <v>45957</v>
      </c>
    </row>
    <row r="349" spans="3:9" hidden="1" x14ac:dyDescent="0.3">
      <c r="C349" s="41">
        <v>45957</v>
      </c>
      <c r="D349" s="39" t="s">
        <v>9</v>
      </c>
      <c r="E349" s="39" t="s">
        <v>108</v>
      </c>
      <c r="F349" s="139">
        <v>59.96</v>
      </c>
      <c r="G349" s="40" t="s">
        <v>273</v>
      </c>
      <c r="H349" s="43" cm="1">
        <f t="array" ref="H349">SUMPRODUCT(Tracking[Amount],--(Tracking[Date]&lt;=Tracking[[#This Row],[Date]]),(Tracking[Type]&lt;&gt;"Income")*(-1)+(Tracking[Type]="Income"))</f>
        <v>500.37999999999977</v>
      </c>
      <c r="I349" s="51">
        <f>IF(AND(Tracking[[#This Row],[Type]]="Income",shift_late_income_status="Active",DAY(Tracking[[#This Row],[Date]])&gt;=shift_late_income_starting_day),DATE(YEAR(Tracking[[#This Row],[Date]]),MONTH(Tracking[[#This Row],[Date]])+1,1),Tracking[[#This Row],[Date]])</f>
        <v>45957</v>
      </c>
    </row>
    <row r="350" spans="3:9" hidden="1" x14ac:dyDescent="0.3">
      <c r="C350" s="41">
        <v>45957</v>
      </c>
      <c r="D350" s="39" t="s">
        <v>9</v>
      </c>
      <c r="E350" s="39" t="s">
        <v>111</v>
      </c>
      <c r="F350" s="139">
        <v>28.9</v>
      </c>
      <c r="G350" s="40" t="s">
        <v>274</v>
      </c>
      <c r="H350" s="43" cm="1">
        <f t="array" ref="H350">SUMPRODUCT(Tracking[Amount],--(Tracking[Date]&lt;=Tracking[[#This Row],[Date]]),(Tracking[Type]&lt;&gt;"Income")*(-1)+(Tracking[Type]="Income"))</f>
        <v>500.37999999999977</v>
      </c>
      <c r="I350" s="51">
        <f>IF(AND(Tracking[[#This Row],[Type]]="Income",shift_late_income_status="Active",DAY(Tracking[[#This Row],[Date]])&gt;=shift_late_income_starting_day),DATE(YEAR(Tracking[[#This Row],[Date]]),MONTH(Tracking[[#This Row],[Date]])+1,1),Tracking[[#This Row],[Date]])</f>
        <v>45957</v>
      </c>
    </row>
    <row r="351" spans="3:9" hidden="1" x14ac:dyDescent="0.3">
      <c r="C351" s="41">
        <v>45959</v>
      </c>
      <c r="D351" s="39" t="s">
        <v>9</v>
      </c>
      <c r="E351" s="39" t="s">
        <v>10</v>
      </c>
      <c r="F351" s="139">
        <v>10.06</v>
      </c>
      <c r="G351" s="40" t="s">
        <v>271</v>
      </c>
      <c r="H351" s="43" cm="1">
        <f t="array" ref="H351">SUMPRODUCT(Tracking[Amount],--(Tracking[Date]&lt;=Tracking[[#This Row],[Date]]),(Tracking[Type]&lt;&gt;"Income")*(-1)+(Tracking[Type]="Income"))</f>
        <v>490.31999999999977</v>
      </c>
      <c r="I351" s="51">
        <f>IF(AND(Tracking[[#This Row],[Type]]="Income",shift_late_income_status="Active",DAY(Tracking[[#This Row],[Date]])&gt;=shift_late_income_starting_day),DATE(YEAR(Tracking[[#This Row],[Date]]),MONTH(Tracking[[#This Row],[Date]])+1,1),Tracking[[#This Row],[Date]])</f>
        <v>45959</v>
      </c>
    </row>
    <row r="352" spans="3:9" hidden="1" x14ac:dyDescent="0.3">
      <c r="C352" s="41">
        <v>45960</v>
      </c>
      <c r="D352" s="39" t="s">
        <v>9</v>
      </c>
      <c r="E352" s="39" t="s">
        <v>10</v>
      </c>
      <c r="F352" s="139">
        <v>12.64</v>
      </c>
      <c r="G352" s="40" t="s">
        <v>271</v>
      </c>
      <c r="H352" s="43" cm="1">
        <f t="array" ref="H352">SUMPRODUCT(Tracking[Amount],--(Tracking[Date]&lt;=Tracking[[#This Row],[Date]]),(Tracking[Type]&lt;&gt;"Income")*(-1)+(Tracking[Type]="Income"))</f>
        <v>477.67999999999978</v>
      </c>
      <c r="I352" s="51">
        <f>IF(AND(Tracking[[#This Row],[Type]]="Income",shift_late_income_status="Active",DAY(Tracking[[#This Row],[Date]])&gt;=shift_late_income_starting_day),DATE(YEAR(Tracking[[#This Row],[Date]]),MONTH(Tracking[[#This Row],[Date]])+1,1),Tracking[[#This Row],[Date]])</f>
        <v>45960</v>
      </c>
    </row>
    <row r="353" spans="3:9" hidden="1" x14ac:dyDescent="0.3">
      <c r="C353" s="41">
        <v>45961</v>
      </c>
      <c r="D353" s="39" t="s">
        <v>5</v>
      </c>
      <c r="E353" s="39" t="s">
        <v>103</v>
      </c>
      <c r="F353" s="139">
        <v>665.48</v>
      </c>
      <c r="G353" s="40"/>
      <c r="H353" s="43" cm="1">
        <f t="array" ref="H353">SUMPRODUCT(Tracking[Amount],--(Tracking[Date]&lt;=Tracking[[#This Row],[Date]]),(Tracking[Type]&lt;&gt;"Income")*(-1)+(Tracking[Type]="Income"))</f>
        <v>1090.79</v>
      </c>
      <c r="I353" s="51">
        <f>IF(AND(Tracking[[#This Row],[Type]]="Income",shift_late_income_status="Active",DAY(Tracking[[#This Row],[Date]])&gt;=shift_late_income_starting_day),DATE(YEAR(Tracking[[#This Row],[Date]]),MONTH(Tracking[[#This Row],[Date]])+1,1),Tracking[[#This Row],[Date]])</f>
        <v>45962</v>
      </c>
    </row>
    <row r="354" spans="3:9" hidden="1" x14ac:dyDescent="0.3">
      <c r="C354" s="41">
        <v>45961</v>
      </c>
      <c r="D354" s="39" t="s">
        <v>9</v>
      </c>
      <c r="E354" s="39" t="s">
        <v>10</v>
      </c>
      <c r="F354" s="139">
        <v>10.06</v>
      </c>
      <c r="G354" s="40" t="s">
        <v>271</v>
      </c>
      <c r="H354" s="43" cm="1">
        <f t="array" ref="H354">SUMPRODUCT(Tracking[Amount],--(Tracking[Date]&lt;=Tracking[[#This Row],[Date]]),(Tracking[Type]&lt;&gt;"Income")*(-1)+(Tracking[Type]="Income"))</f>
        <v>1090.79</v>
      </c>
      <c r="I354" s="51">
        <f>IF(AND(Tracking[[#This Row],[Type]]="Income",shift_late_income_status="Active",DAY(Tracking[[#This Row],[Date]])&gt;=shift_late_income_starting_day),DATE(YEAR(Tracking[[#This Row],[Date]]),MONTH(Tracking[[#This Row],[Date]])+1,1),Tracking[[#This Row],[Date]])</f>
        <v>45961</v>
      </c>
    </row>
    <row r="355" spans="3:9" hidden="1" x14ac:dyDescent="0.3">
      <c r="C355" s="41">
        <v>45961</v>
      </c>
      <c r="D355" s="39" t="s">
        <v>9</v>
      </c>
      <c r="E355" s="39" t="s">
        <v>10</v>
      </c>
      <c r="F355" s="139">
        <v>26.57</v>
      </c>
      <c r="G355" s="40" t="s">
        <v>272</v>
      </c>
      <c r="H355" s="43" cm="1">
        <f t="array" ref="H355">SUMPRODUCT(Tracking[Amount],--(Tracking[Date]&lt;=Tracking[[#This Row],[Date]]),(Tracking[Type]&lt;&gt;"Income")*(-1)+(Tracking[Type]="Income"))</f>
        <v>1090.79</v>
      </c>
      <c r="I355" s="51">
        <f>IF(AND(Tracking[[#This Row],[Type]]="Income",shift_late_income_status="Active",DAY(Tracking[[#This Row],[Date]])&gt;=shift_late_income_starting_day),DATE(YEAR(Tracking[[#This Row],[Date]]),MONTH(Tracking[[#This Row],[Date]])+1,1),Tracking[[#This Row],[Date]])</f>
        <v>45961</v>
      </c>
    </row>
    <row r="356" spans="3:9" hidden="1" x14ac:dyDescent="0.3">
      <c r="C356" s="41">
        <v>45961</v>
      </c>
      <c r="D356" s="39" t="s">
        <v>9</v>
      </c>
      <c r="E356" s="39" t="s">
        <v>10</v>
      </c>
      <c r="F356" s="139">
        <v>15.74</v>
      </c>
      <c r="G356" s="40" t="s">
        <v>271</v>
      </c>
      <c r="H356" s="43" cm="1">
        <f t="array" ref="H356">SUMPRODUCT(Tracking[Amount],--(Tracking[Date]&lt;=Tracking[[#This Row],[Date]]),(Tracking[Type]&lt;&gt;"Income")*(-1)+(Tracking[Type]="Income"))</f>
        <v>1090.79</v>
      </c>
      <c r="I356" s="51">
        <f>IF(AND(Tracking[[#This Row],[Type]]="Income",shift_late_income_status="Active",DAY(Tracking[[#This Row],[Date]])&gt;=shift_late_income_starting_day),DATE(YEAR(Tracking[[#This Row],[Date]]),MONTH(Tracking[[#This Row],[Date]])+1,1),Tracking[[#This Row],[Date]])</f>
        <v>45961</v>
      </c>
    </row>
    <row r="357" spans="3:9" hidden="1" x14ac:dyDescent="0.3">
      <c r="C357" s="41">
        <v>45962</v>
      </c>
      <c r="D357" s="39" t="s">
        <v>14</v>
      </c>
      <c r="E357" s="39" t="s">
        <v>157</v>
      </c>
      <c r="F357" s="139">
        <v>145</v>
      </c>
      <c r="G357" s="40"/>
      <c r="H357" s="43" cm="1">
        <f t="array" ref="H357">SUMPRODUCT(Tracking[Amount],--(Tracking[Date]&lt;=Tracking[[#This Row],[Date]]),(Tracking[Type]&lt;&gt;"Income")*(-1)+(Tracking[Type]="Income"))</f>
        <v>800.79</v>
      </c>
      <c r="I357" s="51">
        <f>IF(AND(Tracking[[#This Row],[Type]]="Income",shift_late_income_status="Active",DAY(Tracking[[#This Row],[Date]])&gt;=shift_late_income_starting_day),DATE(YEAR(Tracking[[#This Row],[Date]]),MONTH(Tracking[[#This Row],[Date]])+1,1),Tracking[[#This Row],[Date]])</f>
        <v>45962</v>
      </c>
    </row>
    <row r="358" spans="3:9" hidden="1" x14ac:dyDescent="0.3">
      <c r="C358" s="41">
        <v>45962</v>
      </c>
      <c r="D358" s="39" t="s">
        <v>14</v>
      </c>
      <c r="E358" s="39" t="s">
        <v>110</v>
      </c>
      <c r="F358" s="139">
        <v>145</v>
      </c>
      <c r="G358" s="40"/>
      <c r="H358" s="43" cm="1">
        <f t="array" ref="H358">SUMPRODUCT(Tracking[Amount],--(Tracking[Date]&lt;=Tracking[[#This Row],[Date]]),(Tracking[Type]&lt;&gt;"Income")*(-1)+(Tracking[Type]="Income"))</f>
        <v>800.79</v>
      </c>
      <c r="I358" s="51">
        <f>IF(AND(Tracking[[#This Row],[Type]]="Income",shift_late_income_status="Active",DAY(Tracking[[#This Row],[Date]])&gt;=shift_late_income_starting_day),DATE(YEAR(Tracking[[#This Row],[Date]]),MONTH(Tracking[[#This Row],[Date]])+1,1),Tracking[[#This Row],[Date]])</f>
        <v>45962</v>
      </c>
    </row>
    <row r="359" spans="3:9" hidden="1" x14ac:dyDescent="0.3">
      <c r="C359" s="41">
        <v>45964</v>
      </c>
      <c r="D359" s="39" t="s">
        <v>9</v>
      </c>
      <c r="E359" s="39" t="s">
        <v>111</v>
      </c>
      <c r="F359" s="139">
        <v>7.5</v>
      </c>
      <c r="G359" s="40"/>
      <c r="H359" s="43" cm="1">
        <f t="array" ref="H359">SUMPRODUCT(Tracking[Amount],--(Tracking[Date]&lt;=Tracking[[#This Row],[Date]]),(Tracking[Type]&lt;&gt;"Income")*(-1)+(Tracking[Type]="Income"))</f>
        <v>678.01</v>
      </c>
      <c r="I359" s="51">
        <f>IF(AND(Tracking[[#This Row],[Type]]="Income",shift_late_income_status="Active",DAY(Tracking[[#This Row],[Date]])&gt;=shift_late_income_starting_day),DATE(YEAR(Tracking[[#This Row],[Date]]),MONTH(Tracking[[#This Row],[Date]])+1,1),Tracking[[#This Row],[Date]])</f>
        <v>45964</v>
      </c>
    </row>
    <row r="360" spans="3:9" hidden="1" x14ac:dyDescent="0.3">
      <c r="C360" s="41">
        <v>45964</v>
      </c>
      <c r="D360" s="39" t="s">
        <v>9</v>
      </c>
      <c r="E360" s="39" t="s">
        <v>10</v>
      </c>
      <c r="F360" s="139">
        <v>14</v>
      </c>
      <c r="G360" s="40" t="s">
        <v>149</v>
      </c>
      <c r="H360" s="43" cm="1">
        <f t="array" ref="H360">SUMPRODUCT(Tracking[Amount],--(Tracking[Date]&lt;=Tracking[[#This Row],[Date]]),(Tracking[Type]&lt;&gt;"Income")*(-1)+(Tracking[Type]="Income"))</f>
        <v>678.01</v>
      </c>
      <c r="I360" s="51">
        <f>IF(AND(Tracking[[#This Row],[Type]]="Income",shift_late_income_status="Active",DAY(Tracking[[#This Row],[Date]])&gt;=shift_late_income_starting_day),DATE(YEAR(Tracking[[#This Row],[Date]]),MONTH(Tracking[[#This Row],[Date]])+1,1),Tracking[[#This Row],[Date]])</f>
        <v>45964</v>
      </c>
    </row>
    <row r="361" spans="3:9" hidden="1" x14ac:dyDescent="0.3">
      <c r="C361" s="41">
        <v>45964</v>
      </c>
      <c r="D361" s="39" t="s">
        <v>9</v>
      </c>
      <c r="E361" s="39" t="s">
        <v>10</v>
      </c>
      <c r="F361" s="139">
        <v>15.74</v>
      </c>
      <c r="G361" s="40" t="s">
        <v>271</v>
      </c>
      <c r="H361" s="43" cm="1">
        <f t="array" ref="H361">SUMPRODUCT(Tracking[Amount],--(Tracking[Date]&lt;=Tracking[[#This Row],[Date]]),(Tracking[Type]&lt;&gt;"Income")*(-1)+(Tracking[Type]="Income"))</f>
        <v>678.01</v>
      </c>
      <c r="I361" s="51">
        <f>IF(AND(Tracking[[#This Row],[Type]]="Income",shift_late_income_status="Active",DAY(Tracking[[#This Row],[Date]])&gt;=shift_late_income_starting_day),DATE(YEAR(Tracking[[#This Row],[Date]]),MONTH(Tracking[[#This Row],[Date]])+1,1),Tracking[[#This Row],[Date]])</f>
        <v>45964</v>
      </c>
    </row>
    <row r="362" spans="3:9" hidden="1" x14ac:dyDescent="0.3">
      <c r="C362" s="41">
        <v>45964</v>
      </c>
      <c r="D362" s="39" t="s">
        <v>9</v>
      </c>
      <c r="E362" s="39" t="s">
        <v>111</v>
      </c>
      <c r="F362" s="139">
        <v>40</v>
      </c>
      <c r="G362" s="40"/>
      <c r="H362" s="43" cm="1">
        <f t="array" ref="H362">SUMPRODUCT(Tracking[Amount],--(Tracking[Date]&lt;=Tracking[[#This Row],[Date]]),(Tracking[Type]&lt;&gt;"Income")*(-1)+(Tracking[Type]="Income"))</f>
        <v>678.01</v>
      </c>
      <c r="I362" s="51">
        <f>IF(AND(Tracking[[#This Row],[Type]]="Income",shift_late_income_status="Active",DAY(Tracking[[#This Row],[Date]])&gt;=shift_late_income_starting_day),DATE(YEAR(Tracking[[#This Row],[Date]]),MONTH(Tracking[[#This Row],[Date]])+1,1),Tracking[[#This Row],[Date]])</f>
        <v>45964</v>
      </c>
    </row>
    <row r="363" spans="3:9" hidden="1" x14ac:dyDescent="0.3">
      <c r="C363" s="41">
        <v>45964</v>
      </c>
      <c r="D363" s="39" t="s">
        <v>9</v>
      </c>
      <c r="E363" s="39" t="s">
        <v>108</v>
      </c>
      <c r="F363" s="139">
        <v>45.54</v>
      </c>
      <c r="G363" s="40" t="s">
        <v>276</v>
      </c>
      <c r="H363" s="43" cm="1">
        <f t="array" ref="H363">SUMPRODUCT(Tracking[Amount],--(Tracking[Date]&lt;=Tracking[[#This Row],[Date]]),(Tracking[Type]&lt;&gt;"Income")*(-1)+(Tracking[Type]="Income"))</f>
        <v>678.01</v>
      </c>
      <c r="I363" s="51">
        <f>IF(AND(Tracking[[#This Row],[Type]]="Income",shift_late_income_status="Active",DAY(Tracking[[#This Row],[Date]])&gt;=shift_late_income_starting_day),DATE(YEAR(Tracking[[#This Row],[Date]]),MONTH(Tracking[[#This Row],[Date]])+1,1),Tracking[[#This Row],[Date]])</f>
        <v>45964</v>
      </c>
    </row>
    <row r="364" spans="3:9" hidden="1" x14ac:dyDescent="0.3">
      <c r="C364" s="41">
        <v>45967</v>
      </c>
      <c r="D364" s="39" t="s">
        <v>9</v>
      </c>
      <c r="E364" s="39" t="s">
        <v>10</v>
      </c>
      <c r="F364" s="139">
        <v>6.71</v>
      </c>
      <c r="G364" s="40" t="s">
        <v>277</v>
      </c>
      <c r="H364" s="43" cm="1">
        <f t="array" ref="H364">SUMPRODUCT(Tracking[Amount],--(Tracking[Date]&lt;=Tracking[[#This Row],[Date]]),(Tracking[Type]&lt;&gt;"Income")*(-1)+(Tracking[Type]="Income"))</f>
        <v>654.66</v>
      </c>
      <c r="I364" s="51">
        <f>IF(AND(Tracking[[#This Row],[Type]]="Income",shift_late_income_status="Active",DAY(Tracking[[#This Row],[Date]])&gt;=shift_late_income_starting_day),DATE(YEAR(Tracking[[#This Row],[Date]]),MONTH(Tracking[[#This Row],[Date]])+1,1),Tracking[[#This Row],[Date]])</f>
        <v>45967</v>
      </c>
    </row>
    <row r="365" spans="3:9" hidden="1" x14ac:dyDescent="0.3">
      <c r="C365" s="41">
        <v>45967</v>
      </c>
      <c r="D365" s="39" t="s">
        <v>9</v>
      </c>
      <c r="E365" s="39" t="s">
        <v>10</v>
      </c>
      <c r="F365" s="139">
        <v>16.64</v>
      </c>
      <c r="G365" s="40" t="s">
        <v>272</v>
      </c>
      <c r="H365" s="43" cm="1">
        <f t="array" ref="H365">SUMPRODUCT(Tracking[Amount],--(Tracking[Date]&lt;=Tracking[[#This Row],[Date]]),(Tracking[Type]&lt;&gt;"Income")*(-1)+(Tracking[Type]="Income"))</f>
        <v>654.66</v>
      </c>
      <c r="I365" s="51">
        <f>IF(AND(Tracking[[#This Row],[Type]]="Income",shift_late_income_status="Active",DAY(Tracking[[#This Row],[Date]])&gt;=shift_late_income_starting_day),DATE(YEAR(Tracking[[#This Row],[Date]]),MONTH(Tracking[[#This Row],[Date]])+1,1),Tracking[[#This Row],[Date]])</f>
        <v>45967</v>
      </c>
    </row>
    <row r="366" spans="3:9" hidden="1" x14ac:dyDescent="0.3">
      <c r="C366" s="41">
        <v>45968</v>
      </c>
      <c r="D366" s="39" t="s">
        <v>9</v>
      </c>
      <c r="E366" s="39" t="s">
        <v>111</v>
      </c>
      <c r="F366" s="139">
        <v>7</v>
      </c>
      <c r="G366" s="40"/>
      <c r="H366" s="43" cm="1">
        <f t="array" ref="H366">SUMPRODUCT(Tracking[Amount],--(Tracking[Date]&lt;=Tracking[[#This Row],[Date]]),(Tracking[Type]&lt;&gt;"Income")*(-1)+(Tracking[Type]="Income"))</f>
        <v>601.66</v>
      </c>
      <c r="I366" s="51">
        <f>IF(AND(Tracking[[#This Row],[Type]]="Income",shift_late_income_status="Active",DAY(Tracking[[#This Row],[Date]])&gt;=shift_late_income_starting_day),DATE(YEAR(Tracking[[#This Row],[Date]]),MONTH(Tracking[[#This Row],[Date]])+1,1),Tracking[[#This Row],[Date]])</f>
        <v>45968</v>
      </c>
    </row>
    <row r="367" spans="3:9" hidden="1" x14ac:dyDescent="0.3">
      <c r="C367" s="41">
        <v>45968</v>
      </c>
      <c r="D367" s="39" t="s">
        <v>9</v>
      </c>
      <c r="E367" s="39" t="s">
        <v>111</v>
      </c>
      <c r="F367" s="139">
        <v>46</v>
      </c>
      <c r="G367" s="40" t="s">
        <v>275</v>
      </c>
      <c r="H367" s="43" cm="1">
        <f t="array" ref="H367">SUMPRODUCT(Tracking[Amount],--(Tracking[Date]&lt;=Tracking[[#This Row],[Date]]),(Tracking[Type]&lt;&gt;"Income")*(-1)+(Tracking[Type]="Income"))</f>
        <v>601.66</v>
      </c>
      <c r="I367" s="51">
        <f>IF(AND(Tracking[[#This Row],[Type]]="Income",shift_late_income_status="Active",DAY(Tracking[[#This Row],[Date]])&gt;=shift_late_income_starting_day),DATE(YEAR(Tracking[[#This Row],[Date]]),MONTH(Tracking[[#This Row],[Date]])+1,1),Tracking[[#This Row],[Date]])</f>
        <v>45968</v>
      </c>
    </row>
    <row r="368" spans="3:9" hidden="1" x14ac:dyDescent="0.3">
      <c r="C368" s="41">
        <v>45971</v>
      </c>
      <c r="D368" s="39" t="s">
        <v>9</v>
      </c>
      <c r="E368" s="39" t="s">
        <v>12</v>
      </c>
      <c r="F368" s="139">
        <v>8.65</v>
      </c>
      <c r="G368" s="40" t="s">
        <v>278</v>
      </c>
      <c r="H368" s="43" cm="1">
        <f t="array" ref="H368">SUMPRODUCT(Tracking[Amount],--(Tracking[Date]&lt;=Tracking[[#This Row],[Date]]),(Tracking[Type]&lt;&gt;"Income")*(-1)+(Tracking[Type]="Income"))</f>
        <v>543.16</v>
      </c>
      <c r="I368" s="51">
        <f>IF(AND(Tracking[[#This Row],[Type]]="Income",shift_late_income_status="Active",DAY(Tracking[[#This Row],[Date]])&gt;=shift_late_income_starting_day),DATE(YEAR(Tracking[[#This Row],[Date]]),MONTH(Tracking[[#This Row],[Date]])+1,1),Tracking[[#This Row],[Date]])</f>
        <v>45971</v>
      </c>
    </row>
    <row r="369" spans="3:9" hidden="1" x14ac:dyDescent="0.3">
      <c r="C369" s="41">
        <v>45971</v>
      </c>
      <c r="D369" s="39" t="s">
        <v>9</v>
      </c>
      <c r="E369" s="39" t="s">
        <v>10</v>
      </c>
      <c r="F369" s="139">
        <v>8.98</v>
      </c>
      <c r="G369" s="40"/>
      <c r="H369" s="43" cm="1">
        <f t="array" ref="H369">SUMPRODUCT(Tracking[Amount],--(Tracking[Date]&lt;=Tracking[[#This Row],[Date]]),(Tracking[Type]&lt;&gt;"Income")*(-1)+(Tracking[Type]="Income"))</f>
        <v>543.16</v>
      </c>
      <c r="I369" s="51">
        <f>IF(AND(Tracking[[#This Row],[Type]]="Income",shift_late_income_status="Active",DAY(Tracking[[#This Row],[Date]])&gt;=shift_late_income_starting_day),DATE(YEAR(Tracking[[#This Row],[Date]]),MONTH(Tracking[[#This Row],[Date]])+1,1),Tracking[[#This Row],[Date]])</f>
        <v>45971</v>
      </c>
    </row>
    <row r="370" spans="3:9" hidden="1" x14ac:dyDescent="0.3">
      <c r="C370" s="41">
        <v>45971</v>
      </c>
      <c r="D370" s="39" t="s">
        <v>9</v>
      </c>
      <c r="E370" s="39" t="s">
        <v>10</v>
      </c>
      <c r="F370" s="139">
        <v>9.4</v>
      </c>
      <c r="G370" s="40" t="s">
        <v>149</v>
      </c>
      <c r="H370" s="43" cm="1">
        <f t="array" ref="H370">SUMPRODUCT(Tracking[Amount],--(Tracking[Date]&lt;=Tracking[[#This Row],[Date]]),(Tracking[Type]&lt;&gt;"Income")*(-1)+(Tracking[Type]="Income"))</f>
        <v>543.16</v>
      </c>
      <c r="I370" s="51">
        <f>IF(AND(Tracking[[#This Row],[Type]]="Income",shift_late_income_status="Active",DAY(Tracking[[#This Row],[Date]])&gt;=shift_late_income_starting_day),DATE(YEAR(Tracking[[#This Row],[Date]]),MONTH(Tracking[[#This Row],[Date]])+1,1),Tracking[[#This Row],[Date]])</f>
        <v>45971</v>
      </c>
    </row>
    <row r="371" spans="3:9" hidden="1" x14ac:dyDescent="0.3">
      <c r="C371" s="41">
        <v>45971</v>
      </c>
      <c r="D371" s="39" t="s">
        <v>9</v>
      </c>
      <c r="E371" s="39" t="s">
        <v>10</v>
      </c>
      <c r="F371" s="139">
        <v>12.1</v>
      </c>
      <c r="G371" s="40" t="s">
        <v>271</v>
      </c>
      <c r="H371" s="43" cm="1">
        <f t="array" ref="H371">SUMPRODUCT(Tracking[Amount],--(Tracking[Date]&lt;=Tracking[[#This Row],[Date]]),(Tracking[Type]&lt;&gt;"Income")*(-1)+(Tracking[Type]="Income"))</f>
        <v>543.16</v>
      </c>
      <c r="I371" s="51">
        <f>IF(AND(Tracking[[#This Row],[Type]]="Income",shift_late_income_status="Active",DAY(Tracking[[#This Row],[Date]])&gt;=shift_late_income_starting_day),DATE(YEAR(Tracking[[#This Row],[Date]]),MONTH(Tracking[[#This Row],[Date]])+1,1),Tracking[[#This Row],[Date]])</f>
        <v>45971</v>
      </c>
    </row>
    <row r="372" spans="3:9" hidden="1" x14ac:dyDescent="0.3">
      <c r="C372" s="41">
        <v>45971</v>
      </c>
      <c r="D372" s="39" t="s">
        <v>9</v>
      </c>
      <c r="E372" s="39" t="s">
        <v>10</v>
      </c>
      <c r="F372" s="139">
        <v>19.37</v>
      </c>
      <c r="G372" s="40" t="s">
        <v>177</v>
      </c>
      <c r="H372" s="43" cm="1">
        <f t="array" ref="H372">SUMPRODUCT(Tracking[Amount],--(Tracking[Date]&lt;=Tracking[[#This Row],[Date]]),(Tracking[Type]&lt;&gt;"Income")*(-1)+(Tracking[Type]="Income"))</f>
        <v>543.16</v>
      </c>
      <c r="I372" s="51">
        <f>IF(AND(Tracking[[#This Row],[Type]]="Income",shift_late_income_status="Active",DAY(Tracking[[#This Row],[Date]])&gt;=shift_late_income_starting_day),DATE(YEAR(Tracking[[#This Row],[Date]]),MONTH(Tracking[[#This Row],[Date]])+1,1),Tracking[[#This Row],[Date]])</f>
        <v>45971</v>
      </c>
    </row>
    <row r="373" spans="3:9" hidden="1" x14ac:dyDescent="0.3">
      <c r="C373" s="41">
        <v>45973</v>
      </c>
      <c r="D373" s="39" t="s">
        <v>9</v>
      </c>
      <c r="E373" s="39" t="s">
        <v>10</v>
      </c>
      <c r="F373" s="139">
        <v>8.3800000000000008</v>
      </c>
      <c r="G373" s="40" t="s">
        <v>249</v>
      </c>
      <c r="H373" s="43" cm="1">
        <f t="array" ref="H373">SUMPRODUCT(Tracking[Amount],--(Tracking[Date]&lt;=Tracking[[#This Row],[Date]]),(Tracking[Type]&lt;&gt;"Income")*(-1)+(Tracking[Type]="Income"))</f>
        <v>508.90000000000003</v>
      </c>
      <c r="I373" s="51">
        <f>IF(AND(Tracking[[#This Row],[Type]]="Income",shift_late_income_status="Active",DAY(Tracking[[#This Row],[Date]])&gt;=shift_late_income_starting_day),DATE(YEAR(Tracking[[#This Row],[Date]]),MONTH(Tracking[[#This Row],[Date]])+1,1),Tracking[[#This Row],[Date]])</f>
        <v>45973</v>
      </c>
    </row>
    <row r="374" spans="3:9" hidden="1" x14ac:dyDescent="0.3">
      <c r="C374" s="41">
        <v>45973</v>
      </c>
      <c r="D374" s="39" t="s">
        <v>9</v>
      </c>
      <c r="E374" s="39" t="s">
        <v>10</v>
      </c>
      <c r="F374" s="139">
        <v>10.06</v>
      </c>
      <c r="G374" s="40" t="s">
        <v>271</v>
      </c>
      <c r="H374" s="43" cm="1">
        <f t="array" ref="H374">SUMPRODUCT(Tracking[Amount],--(Tracking[Date]&lt;=Tracking[[#This Row],[Date]]),(Tracking[Type]&lt;&gt;"Income")*(-1)+(Tracking[Type]="Income"))</f>
        <v>508.90000000000003</v>
      </c>
      <c r="I374" s="51">
        <f>IF(AND(Tracking[[#This Row],[Type]]="Income",shift_late_income_status="Active",DAY(Tracking[[#This Row],[Date]])&gt;=shift_late_income_starting_day),DATE(YEAR(Tracking[[#This Row],[Date]]),MONTH(Tracking[[#This Row],[Date]])+1,1),Tracking[[#This Row],[Date]])</f>
        <v>45973</v>
      </c>
    </row>
    <row r="375" spans="3:9" hidden="1" x14ac:dyDescent="0.3">
      <c r="C375" s="41">
        <v>45973</v>
      </c>
      <c r="D375" s="39" t="s">
        <v>9</v>
      </c>
      <c r="E375" s="39" t="s">
        <v>108</v>
      </c>
      <c r="F375" s="139">
        <v>15.82</v>
      </c>
      <c r="G375" s="40" t="s">
        <v>113</v>
      </c>
      <c r="H375" s="43" cm="1">
        <f t="array" ref="H375">SUMPRODUCT(Tracking[Amount],--(Tracking[Date]&lt;=Tracking[[#This Row],[Date]]),(Tracking[Type]&lt;&gt;"Income")*(-1)+(Tracking[Type]="Income"))</f>
        <v>508.90000000000003</v>
      </c>
      <c r="I375" s="51">
        <f>IF(AND(Tracking[[#This Row],[Type]]="Income",shift_late_income_status="Active",DAY(Tracking[[#This Row],[Date]])&gt;=shift_late_income_starting_day),DATE(YEAR(Tracking[[#This Row],[Date]]),MONTH(Tracking[[#This Row],[Date]])+1,1),Tracking[[#This Row],[Date]])</f>
        <v>45973</v>
      </c>
    </row>
    <row r="376" spans="3:9" hidden="1" x14ac:dyDescent="0.3">
      <c r="C376" s="41">
        <v>45974</v>
      </c>
      <c r="D376" s="39" t="s">
        <v>9</v>
      </c>
      <c r="E376" s="39" t="s">
        <v>111</v>
      </c>
      <c r="F376" s="139">
        <v>12</v>
      </c>
      <c r="G376" s="40"/>
      <c r="H376" s="43" cm="1">
        <f t="array" ref="H376">SUMPRODUCT(Tracking[Amount],--(Tracking[Date]&lt;=Tracking[[#This Row],[Date]]),(Tracking[Type]&lt;&gt;"Income")*(-1)+(Tracking[Type]="Income"))</f>
        <v>454.69000000000005</v>
      </c>
      <c r="I376" s="51">
        <f>IF(AND(Tracking[[#This Row],[Type]]="Income",shift_late_income_status="Active",DAY(Tracking[[#This Row],[Date]])&gt;=shift_late_income_starting_day),DATE(YEAR(Tracking[[#This Row],[Date]]),MONTH(Tracking[[#This Row],[Date]])+1,1),Tracking[[#This Row],[Date]])</f>
        <v>45974</v>
      </c>
    </row>
    <row r="377" spans="3:9" hidden="1" x14ac:dyDescent="0.3">
      <c r="C377" s="41">
        <v>45974</v>
      </c>
      <c r="D377" s="39" t="s">
        <v>9</v>
      </c>
      <c r="E377" s="39" t="s">
        <v>108</v>
      </c>
      <c r="F377" s="139">
        <v>42.21</v>
      </c>
      <c r="G377" s="40" t="s">
        <v>279</v>
      </c>
      <c r="H377" s="43" cm="1">
        <f t="array" ref="H377">SUMPRODUCT(Tracking[Amount],--(Tracking[Date]&lt;=Tracking[[#This Row],[Date]]),(Tracking[Type]&lt;&gt;"Income")*(-1)+(Tracking[Type]="Income"))</f>
        <v>454.69000000000005</v>
      </c>
      <c r="I377" s="51">
        <f>IF(AND(Tracking[[#This Row],[Type]]="Income",shift_late_income_status="Active",DAY(Tracking[[#This Row],[Date]])&gt;=shift_late_income_starting_day),DATE(YEAR(Tracking[[#This Row],[Date]]),MONTH(Tracking[[#This Row],[Date]])+1,1),Tracking[[#This Row],[Date]])</f>
        <v>45974</v>
      </c>
    </row>
    <row r="378" spans="3:9" hidden="1" x14ac:dyDescent="0.3">
      <c r="C378" s="41">
        <v>45975</v>
      </c>
      <c r="D378" s="39" t="s">
        <v>5</v>
      </c>
      <c r="E378" s="39" t="s">
        <v>105</v>
      </c>
      <c r="F378" s="139">
        <v>325</v>
      </c>
      <c r="G378" s="40" t="s">
        <v>280</v>
      </c>
      <c r="H378" s="43" cm="1">
        <f t="array" ref="H378">SUMPRODUCT(Tracking[Amount],--(Tracking[Date]&lt;=Tracking[[#This Row],[Date]]),(Tracking[Type]&lt;&gt;"Income")*(-1)+(Tracking[Type]="Income"))</f>
        <v>1343.5500000000002</v>
      </c>
      <c r="I378" s="51">
        <f>IF(AND(Tracking[[#This Row],[Type]]="Income",shift_late_income_status="Active",DAY(Tracking[[#This Row],[Date]])&gt;=shift_late_income_starting_day),DATE(YEAR(Tracking[[#This Row],[Date]]),MONTH(Tracking[[#This Row],[Date]])+1,1),Tracking[[#This Row],[Date]])</f>
        <v>45975</v>
      </c>
    </row>
    <row r="379" spans="3:9" hidden="1" x14ac:dyDescent="0.3">
      <c r="C379" s="41">
        <v>45975</v>
      </c>
      <c r="D379" s="39" t="s">
        <v>5</v>
      </c>
      <c r="E379" s="39" t="s">
        <v>103</v>
      </c>
      <c r="F379" s="139">
        <v>707.28</v>
      </c>
      <c r="G379" s="40"/>
      <c r="H379" s="43" cm="1">
        <f t="array" ref="H379">SUMPRODUCT(Tracking[Amount],--(Tracking[Date]&lt;=Tracking[[#This Row],[Date]]),(Tracking[Type]&lt;&gt;"Income")*(-1)+(Tracking[Type]="Income"))</f>
        <v>1343.5500000000002</v>
      </c>
      <c r="I379" s="51">
        <f>IF(AND(Tracking[[#This Row],[Type]]="Income",shift_late_income_status="Active",DAY(Tracking[[#This Row],[Date]])&gt;=shift_late_income_starting_day),DATE(YEAR(Tracking[[#This Row],[Date]]),MONTH(Tracking[[#This Row],[Date]])+1,1),Tracking[[#This Row],[Date]])</f>
        <v>45975</v>
      </c>
    </row>
    <row r="380" spans="3:9" hidden="1" x14ac:dyDescent="0.3">
      <c r="C380" s="41">
        <v>45975</v>
      </c>
      <c r="D380" s="39" t="s">
        <v>9</v>
      </c>
      <c r="E380" s="39" t="s">
        <v>10</v>
      </c>
      <c r="F380" s="139">
        <v>8.3000000000000007</v>
      </c>
      <c r="G380" s="40" t="s">
        <v>259</v>
      </c>
      <c r="H380" s="43" cm="1">
        <f t="array" ref="H380">SUMPRODUCT(Tracking[Amount],--(Tracking[Date]&lt;=Tracking[[#This Row],[Date]]),(Tracking[Type]&lt;&gt;"Income")*(-1)+(Tracking[Type]="Income"))</f>
        <v>1343.5500000000002</v>
      </c>
      <c r="I380" s="51">
        <f>IF(AND(Tracking[[#This Row],[Type]]="Income",shift_late_income_status="Active",DAY(Tracking[[#This Row],[Date]])&gt;=shift_late_income_starting_day),DATE(YEAR(Tracking[[#This Row],[Date]]),MONTH(Tracking[[#This Row],[Date]])+1,1),Tracking[[#This Row],[Date]])</f>
        <v>45975</v>
      </c>
    </row>
    <row r="381" spans="3:9" hidden="1" x14ac:dyDescent="0.3">
      <c r="C381" s="41">
        <v>45975</v>
      </c>
      <c r="D381" s="39" t="s">
        <v>9</v>
      </c>
      <c r="E381" s="39" t="s">
        <v>111</v>
      </c>
      <c r="F381" s="139">
        <v>10</v>
      </c>
      <c r="G381" s="40" t="s">
        <v>125</v>
      </c>
      <c r="H381" s="43" cm="1">
        <f t="array" ref="H381">SUMPRODUCT(Tracking[Amount],--(Tracking[Date]&lt;=Tracking[[#This Row],[Date]]),(Tracking[Type]&lt;&gt;"Income")*(-1)+(Tracking[Type]="Income"))</f>
        <v>1343.5500000000002</v>
      </c>
      <c r="I381" s="51">
        <f>IF(AND(Tracking[[#This Row],[Type]]="Income",shift_late_income_status="Active",DAY(Tracking[[#This Row],[Date]])&gt;=shift_late_income_starting_day),DATE(YEAR(Tracking[[#This Row],[Date]]),MONTH(Tracking[[#This Row],[Date]])+1,1),Tracking[[#This Row],[Date]])</f>
        <v>45975</v>
      </c>
    </row>
    <row r="382" spans="3:9" hidden="1" x14ac:dyDescent="0.3">
      <c r="C382" s="41">
        <v>45975</v>
      </c>
      <c r="D382" s="39" t="s">
        <v>9</v>
      </c>
      <c r="E382" s="39" t="s">
        <v>108</v>
      </c>
      <c r="F382" s="139">
        <v>59.52</v>
      </c>
      <c r="G382" s="40" t="s">
        <v>281</v>
      </c>
      <c r="H382" s="43" cm="1">
        <f t="array" ref="H382">SUMPRODUCT(Tracking[Amount],--(Tracking[Date]&lt;=Tracking[[#This Row],[Date]]),(Tracking[Type]&lt;&gt;"Income")*(-1)+(Tracking[Type]="Income"))</f>
        <v>1343.5500000000002</v>
      </c>
      <c r="I382" s="51">
        <f>IF(AND(Tracking[[#This Row],[Type]]="Income",shift_late_income_status="Active",DAY(Tracking[[#This Row],[Date]])&gt;=shift_late_income_starting_day),DATE(YEAR(Tracking[[#This Row],[Date]]),MONTH(Tracking[[#This Row],[Date]])+1,1),Tracking[[#This Row],[Date]])</f>
        <v>45975</v>
      </c>
    </row>
    <row r="383" spans="3:9" hidden="1" x14ac:dyDescent="0.3">
      <c r="C383" s="41">
        <v>45975</v>
      </c>
      <c r="D383" s="39" t="s">
        <v>9</v>
      </c>
      <c r="E383" s="39" t="s">
        <v>10</v>
      </c>
      <c r="F383" s="139">
        <v>10.06</v>
      </c>
      <c r="G383" s="40" t="s">
        <v>271</v>
      </c>
      <c r="H383" s="43" cm="1">
        <f t="array" ref="H383">SUMPRODUCT(Tracking[Amount],--(Tracking[Date]&lt;=Tracking[[#This Row],[Date]]),(Tracking[Type]&lt;&gt;"Income")*(-1)+(Tracking[Type]="Income"))</f>
        <v>1343.5500000000002</v>
      </c>
      <c r="I383" s="51">
        <f>IF(AND(Tracking[[#This Row],[Type]]="Income",shift_late_income_status="Active",DAY(Tracking[[#This Row],[Date]])&gt;=shift_late_income_starting_day),DATE(YEAR(Tracking[[#This Row],[Date]]),MONTH(Tracking[[#This Row],[Date]])+1,1),Tracking[[#This Row],[Date]])</f>
        <v>45975</v>
      </c>
    </row>
    <row r="384" spans="3:9" hidden="1" x14ac:dyDescent="0.3">
      <c r="C384" s="41">
        <v>45975</v>
      </c>
      <c r="D384" s="39" t="s">
        <v>9</v>
      </c>
      <c r="E384" s="39" t="s">
        <v>108</v>
      </c>
      <c r="F384" s="139">
        <v>45.48</v>
      </c>
      <c r="G384" s="40" t="s">
        <v>282</v>
      </c>
      <c r="H384" s="43" cm="1">
        <f t="array" ref="H384">SUMPRODUCT(Tracking[Amount],--(Tracking[Date]&lt;=Tracking[[#This Row],[Date]]),(Tracking[Type]&lt;&gt;"Income")*(-1)+(Tracking[Type]="Income"))</f>
        <v>1343.5500000000002</v>
      </c>
      <c r="I384" s="51">
        <f>IF(AND(Tracking[[#This Row],[Type]]="Income",shift_late_income_status="Active",DAY(Tracking[[#This Row],[Date]])&gt;=shift_late_income_starting_day),DATE(YEAR(Tracking[[#This Row],[Date]]),MONTH(Tracking[[#This Row],[Date]])+1,1),Tracking[[#This Row],[Date]])</f>
        <v>45975</v>
      </c>
    </row>
    <row r="385" spans="3:9" hidden="1" x14ac:dyDescent="0.3">
      <c r="C385" s="41">
        <v>45975</v>
      </c>
      <c r="D385" s="39" t="s">
        <v>9</v>
      </c>
      <c r="E385" s="39" t="s">
        <v>10</v>
      </c>
      <c r="F385" s="139">
        <v>10.06</v>
      </c>
      <c r="G385" s="40" t="s">
        <v>271</v>
      </c>
      <c r="H385" s="43" cm="1">
        <f t="array" ref="H385">SUMPRODUCT(Tracking[Amount],--(Tracking[Date]&lt;=Tracking[[#This Row],[Date]]),(Tracking[Type]&lt;&gt;"Income")*(-1)+(Tracking[Type]="Income"))</f>
        <v>1343.5500000000002</v>
      </c>
      <c r="I385" s="51">
        <f>IF(AND(Tracking[[#This Row],[Type]]="Income",shift_late_income_status="Active",DAY(Tracking[[#This Row],[Date]])&gt;=shift_late_income_starting_day),DATE(YEAR(Tracking[[#This Row],[Date]]),MONTH(Tracking[[#This Row],[Date]])+1,1),Tracking[[#This Row],[Date]])</f>
        <v>45975</v>
      </c>
    </row>
    <row r="386" spans="3:9" hidden="1" x14ac:dyDescent="0.3">
      <c r="C386" s="41">
        <v>45976</v>
      </c>
      <c r="D386" s="39" t="s">
        <v>14</v>
      </c>
      <c r="E386" s="39" t="s">
        <v>157</v>
      </c>
      <c r="F386" s="139">
        <v>272</v>
      </c>
      <c r="G386" s="40"/>
      <c r="H386" s="43" cm="1">
        <f t="array" ref="H386">SUMPRODUCT(Tracking[Amount],--(Tracking[Date]&lt;=Tracking[[#This Row],[Date]]),(Tracking[Type]&lt;&gt;"Income")*(-1)+(Tracking[Type]="Income"))</f>
        <v>799.55000000000018</v>
      </c>
      <c r="I386" s="51">
        <f>IF(AND(Tracking[[#This Row],[Type]]="Income",shift_late_income_status="Active",DAY(Tracking[[#This Row],[Date]])&gt;=shift_late_income_starting_day),DATE(YEAR(Tracking[[#This Row],[Date]]),MONTH(Tracking[[#This Row],[Date]])+1,1),Tracking[[#This Row],[Date]])</f>
        <v>45976</v>
      </c>
    </row>
    <row r="387" spans="3:9" hidden="1" x14ac:dyDescent="0.3">
      <c r="C387" s="41">
        <v>45976</v>
      </c>
      <c r="D387" s="39" t="s">
        <v>14</v>
      </c>
      <c r="E387" s="39" t="s">
        <v>110</v>
      </c>
      <c r="F387" s="139">
        <v>272</v>
      </c>
      <c r="G387" s="40"/>
      <c r="H387" s="43" cm="1">
        <f t="array" ref="H387">SUMPRODUCT(Tracking[Amount],--(Tracking[Date]&lt;=Tracking[[#This Row],[Date]]),(Tracking[Type]&lt;&gt;"Income")*(-1)+(Tracking[Type]="Income"))</f>
        <v>799.55000000000018</v>
      </c>
      <c r="I387" s="51">
        <f>IF(AND(Tracking[[#This Row],[Type]]="Income",shift_late_income_status="Active",DAY(Tracking[[#This Row],[Date]])&gt;=shift_late_income_starting_day),DATE(YEAR(Tracking[[#This Row],[Date]]),MONTH(Tracking[[#This Row],[Date]])+1,1),Tracking[[#This Row],[Date]])</f>
        <v>45976</v>
      </c>
    </row>
    <row r="388" spans="3:9" hidden="1" x14ac:dyDescent="0.3">
      <c r="C388" s="41">
        <v>45976</v>
      </c>
      <c r="D388" s="39" t="s">
        <v>5</v>
      </c>
      <c r="E388" s="39" t="s">
        <v>106</v>
      </c>
      <c r="F388" s="139">
        <v>225</v>
      </c>
      <c r="G388" s="40"/>
      <c r="H388" s="43" cm="1">
        <f t="array" ref="H388">SUMPRODUCT(Tracking[Amount],--(Tracking[Date]&lt;=Tracking[[#This Row],[Date]]),(Tracking[Type]&lt;&gt;"Income")*(-1)+(Tracking[Type]="Income"))</f>
        <v>799.55000000000018</v>
      </c>
      <c r="I388" s="51">
        <f>IF(AND(Tracking[[#This Row],[Type]]="Income",shift_late_income_status="Active",DAY(Tracking[[#This Row],[Date]])&gt;=shift_late_income_starting_day),DATE(YEAR(Tracking[[#This Row],[Date]]),MONTH(Tracking[[#This Row],[Date]])+1,1),Tracking[[#This Row],[Date]])</f>
        <v>45976</v>
      </c>
    </row>
    <row r="389" spans="3:9" hidden="1" x14ac:dyDescent="0.3">
      <c r="C389" s="41">
        <v>45976</v>
      </c>
      <c r="D389" s="39" t="s">
        <v>14</v>
      </c>
      <c r="E389" s="39" t="s">
        <v>157</v>
      </c>
      <c r="F389" s="139">
        <v>225</v>
      </c>
      <c r="G389" s="40"/>
      <c r="H389" s="43" cm="1">
        <f t="array" ref="H389">SUMPRODUCT(Tracking[Amount],--(Tracking[Date]&lt;=Tracking[[#This Row],[Date]]),(Tracking[Type]&lt;&gt;"Income")*(-1)+(Tracking[Type]="Income"))</f>
        <v>799.55000000000018</v>
      </c>
      <c r="I389" s="51">
        <f>IF(AND(Tracking[[#This Row],[Type]]="Income",shift_late_income_status="Active",DAY(Tracking[[#This Row],[Date]])&gt;=shift_late_income_starting_day),DATE(YEAR(Tracking[[#This Row],[Date]]),MONTH(Tracking[[#This Row],[Date]])+1,1),Tracking[[#This Row],[Date]])</f>
        <v>45976</v>
      </c>
    </row>
    <row r="390" spans="3:9" hidden="1" x14ac:dyDescent="0.3">
      <c r="C390" s="41">
        <v>45978</v>
      </c>
      <c r="D390" s="39" t="s">
        <v>9</v>
      </c>
      <c r="E390" s="39" t="s">
        <v>10</v>
      </c>
      <c r="F390" s="139">
        <v>28.52</v>
      </c>
      <c r="G390" s="40" t="s">
        <v>177</v>
      </c>
      <c r="H390" s="43" cm="1">
        <f t="array" ref="H390">SUMPRODUCT(Tracking[Amount],--(Tracking[Date]&lt;=Tracking[[#This Row],[Date]]),(Tracking[Type]&lt;&gt;"Income")*(-1)+(Tracking[Type]="Income"))</f>
        <v>771.0300000000002</v>
      </c>
      <c r="I390" s="51">
        <f>IF(AND(Tracking[[#This Row],[Type]]="Income",shift_late_income_status="Active",DAY(Tracking[[#This Row],[Date]])&gt;=shift_late_income_starting_day),DATE(YEAR(Tracking[[#This Row],[Date]]),MONTH(Tracking[[#This Row],[Date]])+1,1),Tracking[[#This Row],[Date]])</f>
        <v>45978</v>
      </c>
    </row>
    <row r="391" spans="3:9" hidden="1" x14ac:dyDescent="0.3">
      <c r="C391" s="41">
        <v>45980</v>
      </c>
      <c r="D391" s="39" t="s">
        <v>9</v>
      </c>
      <c r="E391" s="39" t="s">
        <v>10</v>
      </c>
      <c r="F391" s="139">
        <v>29.65</v>
      </c>
      <c r="G391" s="40" t="s">
        <v>249</v>
      </c>
      <c r="H391" s="43" cm="1">
        <f t="array" ref="H391">SUMPRODUCT(Tracking[Amount],--(Tracking[Date]&lt;=Tracking[[#This Row],[Date]]),(Tracking[Type]&lt;&gt;"Income")*(-1)+(Tracking[Type]="Income"))</f>
        <v>721.26000000000033</v>
      </c>
      <c r="I391" s="51">
        <f>IF(AND(Tracking[[#This Row],[Type]]="Income",shift_late_income_status="Active",DAY(Tracking[[#This Row],[Date]])&gt;=shift_late_income_starting_day),DATE(YEAR(Tracking[[#This Row],[Date]]),MONTH(Tracking[[#This Row],[Date]])+1,1),Tracking[[#This Row],[Date]])</f>
        <v>45980</v>
      </c>
    </row>
    <row r="392" spans="3:9" hidden="1" x14ac:dyDescent="0.3">
      <c r="C392" s="41">
        <v>45979</v>
      </c>
      <c r="D392" s="39" t="s">
        <v>9</v>
      </c>
      <c r="E392" s="39" t="s">
        <v>10</v>
      </c>
      <c r="F392" s="139">
        <v>10.06</v>
      </c>
      <c r="G392" s="40" t="s">
        <v>271</v>
      </c>
      <c r="H392" s="43" cm="1">
        <f t="array" ref="H392">SUMPRODUCT(Tracking[Amount],--(Tracking[Date]&lt;=Tracking[[#This Row],[Date]]),(Tracking[Type]&lt;&gt;"Income")*(-1)+(Tracking[Type]="Income"))</f>
        <v>760.97000000000025</v>
      </c>
      <c r="I392" s="51">
        <f>IF(AND(Tracking[[#This Row],[Type]]="Income",shift_late_income_status="Active",DAY(Tracking[[#This Row],[Date]])&gt;=shift_late_income_starting_day),DATE(YEAR(Tracking[[#This Row],[Date]]),MONTH(Tracking[[#This Row],[Date]])+1,1),Tracking[[#This Row],[Date]])</f>
        <v>45979</v>
      </c>
    </row>
    <row r="393" spans="3:9" hidden="1" x14ac:dyDescent="0.3">
      <c r="C393" s="41">
        <v>45980</v>
      </c>
      <c r="D393" s="39" t="s">
        <v>9</v>
      </c>
      <c r="E393" s="39" t="s">
        <v>10</v>
      </c>
      <c r="F393" s="139">
        <v>10.06</v>
      </c>
      <c r="G393" s="40" t="s">
        <v>271</v>
      </c>
      <c r="H393" s="43" cm="1">
        <f t="array" ref="H393">SUMPRODUCT(Tracking[Amount],--(Tracking[Date]&lt;=Tracking[[#This Row],[Date]]),(Tracking[Type]&lt;&gt;"Income")*(-1)+(Tracking[Type]="Income"))</f>
        <v>721.26000000000033</v>
      </c>
      <c r="I393" s="51">
        <f>IF(AND(Tracking[[#This Row],[Type]]="Income",shift_late_income_status="Active",DAY(Tracking[[#This Row],[Date]])&gt;=shift_late_income_starting_day),DATE(YEAR(Tracking[[#This Row],[Date]]),MONTH(Tracking[[#This Row],[Date]])+1,1),Tracking[[#This Row],[Date]])</f>
        <v>45980</v>
      </c>
    </row>
    <row r="394" spans="3:9" hidden="1" x14ac:dyDescent="0.3">
      <c r="C394" s="41">
        <v>45985</v>
      </c>
      <c r="D394" s="39" t="s">
        <v>9</v>
      </c>
      <c r="E394" s="39" t="s">
        <v>111</v>
      </c>
      <c r="F394" s="139">
        <v>10.95</v>
      </c>
      <c r="G394" s="40"/>
      <c r="H394" s="43" cm="1">
        <f t="array" ref="H394">SUMPRODUCT(Tracking[Amount],--(Tracking[Date]&lt;=Tracking[[#This Row],[Date]]),(Tracking[Type]&lt;&gt;"Income")*(-1)+(Tracking[Type]="Income"))</f>
        <v>642.78000000000031</v>
      </c>
      <c r="I394" s="51">
        <f>IF(AND(Tracking[[#This Row],[Type]]="Income",shift_late_income_status="Active",DAY(Tracking[[#This Row],[Date]])&gt;=shift_late_income_starting_day),DATE(YEAR(Tracking[[#This Row],[Date]]),MONTH(Tracking[[#This Row],[Date]])+1,1),Tracking[[#This Row],[Date]])</f>
        <v>45985</v>
      </c>
    </row>
    <row r="395" spans="3:9" hidden="1" x14ac:dyDescent="0.3">
      <c r="C395" s="41">
        <v>45985</v>
      </c>
      <c r="D395" s="39" t="s">
        <v>9</v>
      </c>
      <c r="E395" s="39" t="s">
        <v>10</v>
      </c>
      <c r="F395" s="139">
        <v>13.68</v>
      </c>
      <c r="G395" s="40" t="s">
        <v>271</v>
      </c>
      <c r="H395" s="43" cm="1">
        <f t="array" ref="H395">SUMPRODUCT(Tracking[Amount],--(Tracking[Date]&lt;=Tracking[[#This Row],[Date]]),(Tracking[Type]&lt;&gt;"Income")*(-1)+(Tracking[Type]="Income"))</f>
        <v>642.78000000000031</v>
      </c>
      <c r="I395" s="51">
        <f>IF(AND(Tracking[[#This Row],[Type]]="Income",shift_late_income_status="Active",DAY(Tracking[[#This Row],[Date]])&gt;=shift_late_income_starting_day),DATE(YEAR(Tracking[[#This Row],[Date]]),MONTH(Tracking[[#This Row],[Date]])+1,1),Tracking[[#This Row],[Date]])</f>
        <v>45985</v>
      </c>
    </row>
    <row r="396" spans="3:9" hidden="1" x14ac:dyDescent="0.3">
      <c r="C396" s="41">
        <v>45985</v>
      </c>
      <c r="D396" s="39" t="s">
        <v>9</v>
      </c>
      <c r="E396" s="39" t="s">
        <v>10</v>
      </c>
      <c r="F396" s="139">
        <v>31.77</v>
      </c>
      <c r="G396" s="40" t="s">
        <v>248</v>
      </c>
      <c r="H396" s="43" cm="1">
        <f t="array" ref="H396">SUMPRODUCT(Tracking[Amount],--(Tracking[Date]&lt;=Tracking[[#This Row],[Date]]),(Tracking[Type]&lt;&gt;"Income")*(-1)+(Tracking[Type]="Income"))</f>
        <v>642.78000000000031</v>
      </c>
      <c r="I396" s="51">
        <f>IF(AND(Tracking[[#This Row],[Type]]="Income",shift_late_income_status="Active",DAY(Tracking[[#This Row],[Date]])&gt;=shift_late_income_starting_day),DATE(YEAR(Tracking[[#This Row],[Date]]),MONTH(Tracking[[#This Row],[Date]])+1,1),Tracking[[#This Row],[Date]])</f>
        <v>45985</v>
      </c>
    </row>
    <row r="397" spans="3:9" hidden="1" x14ac:dyDescent="0.3">
      <c r="C397" s="41">
        <v>45986</v>
      </c>
      <c r="D397" s="39" t="s">
        <v>9</v>
      </c>
      <c r="E397" s="39" t="s">
        <v>108</v>
      </c>
      <c r="F397" s="139">
        <v>57.09</v>
      </c>
      <c r="G397" s="40" t="s">
        <v>251</v>
      </c>
      <c r="H397" s="43" cm="1">
        <f t="array" ref="H397">SUMPRODUCT(Tracking[Amount],--(Tracking[Date]&lt;=Tracking[[#This Row],[Date]]),(Tracking[Type]&lt;&gt;"Income")*(-1)+(Tracking[Type]="Income"))</f>
        <v>561.35000000000036</v>
      </c>
      <c r="I397" s="51">
        <f>IF(AND(Tracking[[#This Row],[Type]]="Income",shift_late_income_status="Active",DAY(Tracking[[#This Row],[Date]])&gt;=shift_late_income_starting_day),DATE(YEAR(Tracking[[#This Row],[Date]]),MONTH(Tracking[[#This Row],[Date]])+1,1),Tracking[[#This Row],[Date]])</f>
        <v>45986</v>
      </c>
    </row>
    <row r="398" spans="3:9" hidden="1" x14ac:dyDescent="0.3">
      <c r="C398" s="41">
        <v>45986</v>
      </c>
      <c r="D398" s="39" t="s">
        <v>9</v>
      </c>
      <c r="E398" s="39" t="s">
        <v>10</v>
      </c>
      <c r="F398" s="139">
        <v>5.89</v>
      </c>
      <c r="G398" s="40"/>
      <c r="H398" s="43" cm="1">
        <f t="array" ref="H398">SUMPRODUCT(Tracking[Amount],--(Tracking[Date]&lt;=Tracking[[#This Row],[Date]]),(Tracking[Type]&lt;&gt;"Income")*(-1)+(Tracking[Type]="Income"))</f>
        <v>561.35000000000036</v>
      </c>
      <c r="I398" s="51">
        <f>IF(AND(Tracking[[#This Row],[Type]]="Income",shift_late_income_status="Active",DAY(Tracking[[#This Row],[Date]])&gt;=shift_late_income_starting_day),DATE(YEAR(Tracking[[#This Row],[Date]]),MONTH(Tracking[[#This Row],[Date]])+1,1),Tracking[[#This Row],[Date]])</f>
        <v>45986</v>
      </c>
    </row>
    <row r="399" spans="3:9" hidden="1" x14ac:dyDescent="0.3">
      <c r="C399" s="41">
        <v>45985</v>
      </c>
      <c r="D399" s="39" t="s">
        <v>9</v>
      </c>
      <c r="E399" s="39" t="s">
        <v>10</v>
      </c>
      <c r="F399" s="139">
        <v>22.08</v>
      </c>
      <c r="G399" s="40" t="s">
        <v>271</v>
      </c>
      <c r="H399" s="43" cm="1">
        <f t="array" ref="H399">SUMPRODUCT(Tracking[Amount],--(Tracking[Date]&lt;=Tracking[[#This Row],[Date]]),(Tracking[Type]&lt;&gt;"Income")*(-1)+(Tracking[Type]="Income"))</f>
        <v>642.78000000000031</v>
      </c>
      <c r="I399" s="51">
        <f>IF(AND(Tracking[[#This Row],[Type]]="Income",shift_late_income_status="Active",DAY(Tracking[[#This Row],[Date]])&gt;=shift_late_income_starting_day),DATE(YEAR(Tracking[[#This Row],[Date]]),MONTH(Tracking[[#This Row],[Date]])+1,1),Tracking[[#This Row],[Date]])</f>
        <v>45985</v>
      </c>
    </row>
    <row r="400" spans="3:9" hidden="1" x14ac:dyDescent="0.3">
      <c r="C400" s="41">
        <v>45986</v>
      </c>
      <c r="D400" s="39" t="s">
        <v>9</v>
      </c>
      <c r="E400" s="39" t="s">
        <v>10</v>
      </c>
      <c r="F400" s="139">
        <v>1.89</v>
      </c>
      <c r="G400" s="40"/>
      <c r="H400" s="43" cm="1">
        <f t="array" ref="H400">SUMPRODUCT(Tracking[Amount],--(Tracking[Date]&lt;=Tracking[[#This Row],[Date]]),(Tracking[Type]&lt;&gt;"Income")*(-1)+(Tracking[Type]="Income"))</f>
        <v>561.35000000000036</v>
      </c>
      <c r="I400" s="51">
        <f>IF(AND(Tracking[[#This Row],[Type]]="Income",shift_late_income_status="Active",DAY(Tracking[[#This Row],[Date]])&gt;=shift_late_income_starting_day),DATE(YEAR(Tracking[[#This Row],[Date]]),MONTH(Tracking[[#This Row],[Date]])+1,1),Tracking[[#This Row],[Date]])</f>
        <v>45986</v>
      </c>
    </row>
    <row r="401" spans="3:9" hidden="1" x14ac:dyDescent="0.3">
      <c r="C401" s="41">
        <v>45986</v>
      </c>
      <c r="D401" s="39" t="s">
        <v>9</v>
      </c>
      <c r="E401" s="39" t="s">
        <v>10</v>
      </c>
      <c r="F401" s="139">
        <v>1.5</v>
      </c>
      <c r="G401" s="40"/>
      <c r="H401" s="43" cm="1">
        <f t="array" ref="H401">SUMPRODUCT(Tracking[Amount],--(Tracking[Date]&lt;=Tracking[[#This Row],[Date]]),(Tracking[Type]&lt;&gt;"Income")*(-1)+(Tracking[Type]="Income"))</f>
        <v>561.35000000000036</v>
      </c>
      <c r="I401" s="51">
        <f>IF(AND(Tracking[[#This Row],[Type]]="Income",shift_late_income_status="Active",DAY(Tracking[[#This Row],[Date]])&gt;=shift_late_income_starting_day),DATE(YEAR(Tracking[[#This Row],[Date]]),MONTH(Tracking[[#This Row],[Date]])+1,1),Tracking[[#This Row],[Date]])</f>
        <v>45986</v>
      </c>
    </row>
    <row r="402" spans="3:9" hidden="1" x14ac:dyDescent="0.3">
      <c r="C402" s="41">
        <v>45986</v>
      </c>
      <c r="D402" s="39" t="s">
        <v>9</v>
      </c>
      <c r="E402" s="39" t="s">
        <v>10</v>
      </c>
      <c r="F402" s="139">
        <v>10.06</v>
      </c>
      <c r="G402" s="40" t="s">
        <v>271</v>
      </c>
      <c r="H402" s="43" cm="1">
        <f t="array" ref="H402">SUMPRODUCT(Tracking[Amount],--(Tracking[Date]&lt;=Tracking[[#This Row],[Date]]),(Tracking[Type]&lt;&gt;"Income")*(-1)+(Tracking[Type]="Income"))</f>
        <v>561.35000000000036</v>
      </c>
      <c r="I402" s="51">
        <f>IF(AND(Tracking[[#This Row],[Type]]="Income",shift_late_income_status="Active",DAY(Tracking[[#This Row],[Date]])&gt;=shift_late_income_starting_day),DATE(YEAR(Tracking[[#This Row],[Date]]),MONTH(Tracking[[#This Row],[Date]])+1,1),Tracking[[#This Row],[Date]])</f>
        <v>45986</v>
      </c>
    </row>
    <row r="403" spans="3:9" hidden="1" x14ac:dyDescent="0.3">
      <c r="C403" s="41">
        <v>45986</v>
      </c>
      <c r="D403" s="39" t="s">
        <v>9</v>
      </c>
      <c r="E403" s="39" t="s">
        <v>111</v>
      </c>
      <c r="F403" s="139">
        <v>5</v>
      </c>
      <c r="G403" s="40"/>
      <c r="H403" s="43" cm="1">
        <f t="array" ref="H403">SUMPRODUCT(Tracking[Amount],--(Tracking[Date]&lt;=Tracking[[#This Row],[Date]]),(Tracking[Type]&lt;&gt;"Income")*(-1)+(Tracking[Type]="Income"))</f>
        <v>561.35000000000036</v>
      </c>
      <c r="I403" s="51">
        <f>IF(AND(Tracking[[#This Row],[Type]]="Income",shift_late_income_status="Active",DAY(Tracking[[#This Row],[Date]])&gt;=shift_late_income_starting_day),DATE(YEAR(Tracking[[#This Row],[Date]]),MONTH(Tracking[[#This Row],[Date]])+1,1),Tracking[[#This Row],[Date]])</f>
        <v>45986</v>
      </c>
    </row>
    <row r="404" spans="3:9" hidden="1" x14ac:dyDescent="0.3">
      <c r="C404" s="41">
        <v>45988</v>
      </c>
      <c r="D404" s="39" t="s">
        <v>9</v>
      </c>
      <c r="E404" s="39" t="s">
        <v>111</v>
      </c>
      <c r="F404" s="139">
        <v>45</v>
      </c>
      <c r="G404" s="40" t="s">
        <v>283</v>
      </c>
      <c r="H404" s="43" cm="1">
        <f t="array" ref="H404">SUMPRODUCT(Tracking[Amount],--(Tracking[Date]&lt;=Tracking[[#This Row],[Date]]),(Tracking[Type]&lt;&gt;"Income")*(-1)+(Tracking[Type]="Income"))</f>
        <v>516.35000000000036</v>
      </c>
      <c r="I404" s="51">
        <f>IF(AND(Tracking[[#This Row],[Type]]="Income",shift_late_income_status="Active",DAY(Tracking[[#This Row],[Date]])&gt;=shift_late_income_starting_day),DATE(YEAR(Tracking[[#This Row],[Date]]),MONTH(Tracking[[#This Row],[Date]])+1,1),Tracking[[#This Row],[Date]])</f>
        <v>45988</v>
      </c>
    </row>
    <row r="405" spans="3:9" hidden="1" x14ac:dyDescent="0.3">
      <c r="C405" s="41">
        <v>45989</v>
      </c>
      <c r="D405" s="39" t="s">
        <v>9</v>
      </c>
      <c r="E405" s="39" t="s">
        <v>111</v>
      </c>
      <c r="F405" s="139">
        <v>59.99</v>
      </c>
      <c r="G405" s="40" t="s">
        <v>284</v>
      </c>
      <c r="H405" s="43" cm="1">
        <f t="array" ref="H405">SUMPRODUCT(Tracking[Amount],--(Tracking[Date]&lt;=Tracking[[#This Row],[Date]]),(Tracking[Type]&lt;&gt;"Income")*(-1)+(Tracking[Type]="Income"))</f>
        <v>1140.3200000000004</v>
      </c>
      <c r="I405" s="51">
        <f>IF(AND(Tracking[[#This Row],[Type]]="Income",shift_late_income_status="Active",DAY(Tracking[[#This Row],[Date]])&gt;=shift_late_income_starting_day),DATE(YEAR(Tracking[[#This Row],[Date]]),MONTH(Tracking[[#This Row],[Date]])+1,1),Tracking[[#This Row],[Date]])</f>
        <v>45989</v>
      </c>
    </row>
    <row r="406" spans="3:9" hidden="1" x14ac:dyDescent="0.3">
      <c r="C406" s="41">
        <v>45989</v>
      </c>
      <c r="D406" s="39" t="s">
        <v>5</v>
      </c>
      <c r="E406" s="39" t="s">
        <v>103</v>
      </c>
      <c r="F406" s="139">
        <v>724</v>
      </c>
      <c r="G406" s="40"/>
      <c r="H406" s="43" cm="1">
        <f t="array" ref="H406">SUMPRODUCT(Tracking[Amount],--(Tracking[Date]&lt;=Tracking[[#This Row],[Date]]),(Tracking[Type]&lt;&gt;"Income")*(-1)+(Tracking[Type]="Income"))</f>
        <v>1140.3200000000004</v>
      </c>
      <c r="I406" s="51">
        <f>IF(AND(Tracking[[#This Row],[Type]]="Income",shift_late_income_status="Active",DAY(Tracking[[#This Row],[Date]])&gt;=shift_late_income_starting_day),DATE(YEAR(Tracking[[#This Row],[Date]]),MONTH(Tracking[[#This Row],[Date]])+1,1),Tracking[[#This Row],[Date]])</f>
        <v>45992</v>
      </c>
    </row>
    <row r="407" spans="3:9" hidden="1" x14ac:dyDescent="0.3">
      <c r="C407" s="41">
        <v>45992</v>
      </c>
      <c r="D407" s="39" t="s">
        <v>14</v>
      </c>
      <c r="E407" s="39" t="s">
        <v>110</v>
      </c>
      <c r="F407" s="139">
        <v>170</v>
      </c>
      <c r="G407" s="40"/>
      <c r="H407" s="43" cm="1">
        <f t="array" ref="H407">SUMPRODUCT(Tracking[Amount],--(Tracking[Date]&lt;=Tracking[[#This Row],[Date]]),(Tracking[Type]&lt;&gt;"Income")*(-1)+(Tracking[Type]="Income"))</f>
        <v>552.12000000000046</v>
      </c>
      <c r="I407" s="51">
        <f>IF(AND(Tracking[[#This Row],[Type]]="Income",shift_late_income_status="Active",DAY(Tracking[[#This Row],[Date]])&gt;=shift_late_income_starting_day),DATE(YEAR(Tracking[[#This Row],[Date]]),MONTH(Tracking[[#This Row],[Date]])+1,1),Tracking[[#This Row],[Date]])</f>
        <v>45992</v>
      </c>
    </row>
    <row r="408" spans="3:9" hidden="1" x14ac:dyDescent="0.3">
      <c r="C408" s="41">
        <v>45992</v>
      </c>
      <c r="D408" s="39" t="s">
        <v>14</v>
      </c>
      <c r="E408" s="39" t="s">
        <v>157</v>
      </c>
      <c r="F408" s="139">
        <v>170</v>
      </c>
      <c r="G408" s="40"/>
      <c r="H408" s="43" cm="1">
        <f t="array" ref="H408">SUMPRODUCT(Tracking[Amount],--(Tracking[Date]&lt;=Tracking[[#This Row],[Date]]),(Tracking[Type]&lt;&gt;"Income")*(-1)+(Tracking[Type]="Income"))</f>
        <v>552.12000000000046</v>
      </c>
      <c r="I408" s="51">
        <f>IF(AND(Tracking[[#This Row],[Type]]="Income",shift_late_income_status="Active",DAY(Tracking[[#This Row],[Date]])&gt;=shift_late_income_starting_day),DATE(YEAR(Tracking[[#This Row],[Date]]),MONTH(Tracking[[#This Row],[Date]])+1,1),Tracking[[#This Row],[Date]])</f>
        <v>45992</v>
      </c>
    </row>
    <row r="409" spans="3:9" hidden="1" x14ac:dyDescent="0.3">
      <c r="C409" s="41">
        <v>45989</v>
      </c>
      <c r="D409" s="39" t="s">
        <v>9</v>
      </c>
      <c r="E409" s="39" t="s">
        <v>111</v>
      </c>
      <c r="F409" s="139">
        <v>40.04</v>
      </c>
      <c r="G409" s="40" t="s">
        <v>285</v>
      </c>
      <c r="H409" s="43" cm="1">
        <f t="array" ref="H409">SUMPRODUCT(Tracking[Amount],--(Tracking[Date]&lt;=Tracking[[#This Row],[Date]]),(Tracking[Type]&lt;&gt;"Income")*(-1)+(Tracking[Type]="Income"))</f>
        <v>1140.3200000000004</v>
      </c>
      <c r="I409" s="51">
        <f>IF(AND(Tracking[[#This Row],[Type]]="Income",shift_late_income_status="Active",DAY(Tracking[[#This Row],[Date]])&gt;=shift_late_income_starting_day),DATE(YEAR(Tracking[[#This Row],[Date]]),MONTH(Tracking[[#This Row],[Date]])+1,1),Tracking[[#This Row],[Date]])</f>
        <v>45989</v>
      </c>
    </row>
    <row r="410" spans="3:9" hidden="1" x14ac:dyDescent="0.3">
      <c r="C410" s="41">
        <v>45992</v>
      </c>
      <c r="D410" s="39" t="s">
        <v>9</v>
      </c>
      <c r="E410" s="39" t="s">
        <v>111</v>
      </c>
      <c r="F410" s="139">
        <v>192.82</v>
      </c>
      <c r="G410" s="40" t="s">
        <v>286</v>
      </c>
      <c r="H410" s="43" cm="1">
        <f t="array" ref="H410">SUMPRODUCT(Tracking[Amount],--(Tracking[Date]&lt;=Tracking[[#This Row],[Date]]),(Tracking[Type]&lt;&gt;"Income")*(-1)+(Tracking[Type]="Income"))</f>
        <v>552.12000000000046</v>
      </c>
      <c r="I410" s="51">
        <f>IF(AND(Tracking[[#This Row],[Type]]="Income",shift_late_income_status="Active",DAY(Tracking[[#This Row],[Date]])&gt;=shift_late_income_starting_day),DATE(YEAR(Tracking[[#This Row],[Date]]),MONTH(Tracking[[#This Row],[Date]])+1,1),Tracking[[#This Row],[Date]])</f>
        <v>45992</v>
      </c>
    </row>
    <row r="411" spans="3:9" hidden="1" x14ac:dyDescent="0.3">
      <c r="C411" s="41">
        <v>45993</v>
      </c>
      <c r="D411" s="39" t="s">
        <v>9</v>
      </c>
      <c r="E411" s="39" t="s">
        <v>10</v>
      </c>
      <c r="F411" s="139">
        <v>11</v>
      </c>
      <c r="G411" s="40" t="s">
        <v>287</v>
      </c>
      <c r="H411" s="43" cm="1">
        <f t="array" ref="H411">SUMPRODUCT(Tracking[Amount],--(Tracking[Date]&lt;=Tracking[[#This Row],[Date]]),(Tracking[Type]&lt;&gt;"Income")*(-1)+(Tracking[Type]="Income"))</f>
        <v>541.12000000000046</v>
      </c>
      <c r="I411" s="51">
        <f>IF(AND(Tracking[[#This Row],[Type]]="Income",shift_late_income_status="Active",DAY(Tracking[[#This Row],[Date]])&gt;=shift_late_income_starting_day),DATE(YEAR(Tracking[[#This Row],[Date]]),MONTH(Tracking[[#This Row],[Date]])+1,1),Tracking[[#This Row],[Date]])</f>
        <v>45993</v>
      </c>
    </row>
    <row r="412" spans="3:9" hidden="1" x14ac:dyDescent="0.3">
      <c r="C412" s="41">
        <v>45994</v>
      </c>
      <c r="D412" s="39" t="s">
        <v>9</v>
      </c>
      <c r="E412" s="39" t="s">
        <v>10</v>
      </c>
      <c r="F412" s="139">
        <v>22.08</v>
      </c>
      <c r="G412" s="40" t="s">
        <v>271</v>
      </c>
      <c r="H412" s="43" cm="1">
        <f t="array" ref="H412">SUMPRODUCT(Tracking[Amount],--(Tracking[Date]&lt;=Tracking[[#This Row],[Date]]),(Tracking[Type]&lt;&gt;"Income")*(-1)+(Tracking[Type]="Income"))</f>
        <v>-79.529999999999575</v>
      </c>
      <c r="I412" s="51">
        <f>IF(AND(Tracking[[#This Row],[Type]]="Income",shift_late_income_status="Active",DAY(Tracking[[#This Row],[Date]])&gt;=shift_late_income_starting_day),DATE(YEAR(Tracking[[#This Row],[Date]]),MONTH(Tracking[[#This Row],[Date]])+1,1),Tracking[[#This Row],[Date]])</f>
        <v>45994</v>
      </c>
    </row>
    <row r="413" spans="3:9" hidden="1" x14ac:dyDescent="0.3">
      <c r="C413" s="41">
        <v>45992</v>
      </c>
      <c r="D413" s="39" t="s">
        <v>9</v>
      </c>
      <c r="E413" s="39" t="s">
        <v>10</v>
      </c>
      <c r="F413" s="139">
        <v>6.27</v>
      </c>
      <c r="G413" s="40" t="s">
        <v>288</v>
      </c>
      <c r="H413" s="43" cm="1">
        <f t="array" ref="H413">SUMPRODUCT(Tracking[Amount],--(Tracking[Date]&lt;=Tracking[[#This Row],[Date]]),(Tracking[Type]&lt;&gt;"Income")*(-1)+(Tracking[Type]="Income"))</f>
        <v>552.12000000000046</v>
      </c>
      <c r="I413" s="51">
        <f>IF(AND(Tracking[[#This Row],[Type]]="Income",shift_late_income_status="Active",DAY(Tracking[[#This Row],[Date]])&gt;=shift_late_income_starting_day),DATE(YEAR(Tracking[[#This Row],[Date]]),MONTH(Tracking[[#This Row],[Date]])+1,1),Tracking[[#This Row],[Date]])</f>
        <v>45992</v>
      </c>
    </row>
    <row r="414" spans="3:9" hidden="1" x14ac:dyDescent="0.3">
      <c r="C414" s="41">
        <v>45992</v>
      </c>
      <c r="D414" s="39" t="s">
        <v>9</v>
      </c>
      <c r="E414" s="39" t="s">
        <v>10</v>
      </c>
      <c r="F414" s="139">
        <v>13.61</v>
      </c>
      <c r="G414" s="40" t="s">
        <v>259</v>
      </c>
      <c r="H414" s="43" cm="1">
        <f t="array" ref="H414">SUMPRODUCT(Tracking[Amount],--(Tracking[Date]&lt;=Tracking[[#This Row],[Date]]),(Tracking[Type]&lt;&gt;"Income")*(-1)+(Tracking[Type]="Income"))</f>
        <v>552.12000000000046</v>
      </c>
      <c r="I414" s="51">
        <f>IF(AND(Tracking[[#This Row],[Type]]="Income",shift_late_income_status="Active",DAY(Tracking[[#This Row],[Date]])&gt;=shift_late_income_starting_day),DATE(YEAR(Tracking[[#This Row],[Date]]),MONTH(Tracking[[#This Row],[Date]])+1,1),Tracking[[#This Row],[Date]])</f>
        <v>45992</v>
      </c>
    </row>
    <row r="415" spans="3:9" hidden="1" x14ac:dyDescent="0.3">
      <c r="C415" s="41">
        <v>45992</v>
      </c>
      <c r="D415" s="39" t="s">
        <v>9</v>
      </c>
      <c r="E415" s="39" t="s">
        <v>12</v>
      </c>
      <c r="F415" s="139">
        <v>35.5</v>
      </c>
      <c r="G415" s="40" t="s">
        <v>289</v>
      </c>
      <c r="H415" s="43" cm="1">
        <f t="array" ref="H415">SUMPRODUCT(Tracking[Amount],--(Tracking[Date]&lt;=Tracking[[#This Row],[Date]]),(Tracking[Type]&lt;&gt;"Income")*(-1)+(Tracking[Type]="Income"))</f>
        <v>552.12000000000046</v>
      </c>
      <c r="I415" s="51">
        <f>IF(AND(Tracking[[#This Row],[Type]]="Income",shift_late_income_status="Active",DAY(Tracking[[#This Row],[Date]])&gt;=shift_late_income_starting_day),DATE(YEAR(Tracking[[#This Row],[Date]]),MONTH(Tracking[[#This Row],[Date]])+1,1),Tracking[[#This Row],[Date]])</f>
        <v>45992</v>
      </c>
    </row>
    <row r="416" spans="3:9" hidden="1" x14ac:dyDescent="0.3">
      <c r="C416" s="41">
        <v>45994</v>
      </c>
      <c r="D416" s="39" t="s">
        <v>9</v>
      </c>
      <c r="E416" s="39" t="s">
        <v>10</v>
      </c>
      <c r="F416" s="139">
        <v>17.829999999999998</v>
      </c>
      <c r="G416" s="40" t="s">
        <v>145</v>
      </c>
      <c r="H416" s="43" cm="1">
        <f t="array" ref="H416">SUMPRODUCT(Tracking[Amount],--(Tracking[Date]&lt;=Tracking[[#This Row],[Date]]),(Tracking[Type]&lt;&gt;"Income")*(-1)+(Tracking[Type]="Income"))</f>
        <v>-79.529999999999575</v>
      </c>
      <c r="I416" s="51">
        <f>IF(AND(Tracking[[#This Row],[Type]]="Income",shift_late_income_status="Active",DAY(Tracking[[#This Row],[Date]])&gt;=shift_late_income_starting_day),DATE(YEAR(Tracking[[#This Row],[Date]]),MONTH(Tracking[[#This Row],[Date]])+1,1),Tracking[[#This Row],[Date]])</f>
        <v>45994</v>
      </c>
    </row>
    <row r="417" spans="3:9" hidden="1" x14ac:dyDescent="0.3">
      <c r="C417" s="41">
        <v>45994</v>
      </c>
      <c r="D417" s="39" t="s">
        <v>9</v>
      </c>
      <c r="E417" s="39" t="s">
        <v>10</v>
      </c>
      <c r="F417" s="139">
        <v>7.58</v>
      </c>
      <c r="G417" s="40" t="s">
        <v>272</v>
      </c>
      <c r="H417" s="43" cm="1">
        <f t="array" ref="H417">SUMPRODUCT(Tracking[Amount],--(Tracking[Date]&lt;=Tracking[[#This Row],[Date]]),(Tracking[Type]&lt;&gt;"Income")*(-1)+(Tracking[Type]="Income"))</f>
        <v>-79.529999999999575</v>
      </c>
      <c r="I417" s="51">
        <f>IF(AND(Tracking[[#This Row],[Type]]="Income",shift_late_income_status="Active",DAY(Tracking[[#This Row],[Date]])&gt;=shift_late_income_starting_day),DATE(YEAR(Tracking[[#This Row],[Date]]),MONTH(Tracking[[#This Row],[Date]])+1,1),Tracking[[#This Row],[Date]])</f>
        <v>45994</v>
      </c>
    </row>
    <row r="418" spans="3:9" hidden="1" x14ac:dyDescent="0.3">
      <c r="C418" s="41">
        <v>45994</v>
      </c>
      <c r="D418" s="39" t="s">
        <v>9</v>
      </c>
      <c r="E418" s="39" t="s">
        <v>10</v>
      </c>
      <c r="F418" s="139">
        <v>9.61</v>
      </c>
      <c r="G418" s="40" t="s">
        <v>149</v>
      </c>
      <c r="H418" s="43" cm="1">
        <f t="array" ref="H418">SUMPRODUCT(Tracking[Amount],--(Tracking[Date]&lt;=Tracking[[#This Row],[Date]]),(Tracking[Type]&lt;&gt;"Income")*(-1)+(Tracking[Type]="Income"))</f>
        <v>-79.529999999999575</v>
      </c>
      <c r="I418" s="51">
        <f>IF(AND(Tracking[[#This Row],[Type]]="Income",shift_late_income_status="Active",DAY(Tracking[[#This Row],[Date]])&gt;=shift_late_income_starting_day),DATE(YEAR(Tracking[[#This Row],[Date]]),MONTH(Tracking[[#This Row],[Date]])+1,1),Tracking[[#This Row],[Date]])</f>
        <v>45994</v>
      </c>
    </row>
    <row r="419" spans="3:9" hidden="1" x14ac:dyDescent="0.3">
      <c r="C419" s="41">
        <v>45994</v>
      </c>
      <c r="D419" s="39" t="s">
        <v>9</v>
      </c>
      <c r="E419" s="39"/>
      <c r="F419" s="139">
        <v>17.98</v>
      </c>
      <c r="G419" s="40" t="s">
        <v>289</v>
      </c>
      <c r="H419" s="43" cm="1">
        <f t="array" ref="H419">SUMPRODUCT(Tracking[Amount],--(Tracking[Date]&lt;=Tracking[[#This Row],[Date]]),(Tracking[Type]&lt;&gt;"Income")*(-1)+(Tracking[Type]="Income"))</f>
        <v>-79.529999999999575</v>
      </c>
      <c r="I419" s="51">
        <f>IF(AND(Tracking[[#This Row],[Type]]="Income",shift_late_income_status="Active",DAY(Tracking[[#This Row],[Date]])&gt;=shift_late_income_starting_day),DATE(YEAR(Tracking[[#This Row],[Date]]),MONTH(Tracking[[#This Row],[Date]])+1,1),Tracking[[#This Row],[Date]])</f>
        <v>45994</v>
      </c>
    </row>
    <row r="420" spans="3:9" hidden="1" x14ac:dyDescent="0.3">
      <c r="C420" s="41">
        <v>45994</v>
      </c>
      <c r="D420" s="39" t="s">
        <v>9</v>
      </c>
      <c r="E420" s="39" t="s">
        <v>10</v>
      </c>
      <c r="F420" s="139">
        <v>21.34</v>
      </c>
      <c r="G420" s="40" t="s">
        <v>249</v>
      </c>
      <c r="H420" s="43" cm="1">
        <f t="array" ref="H420">SUMPRODUCT(Tracking[Amount],--(Tracking[Date]&lt;=Tracking[[#This Row],[Date]]),(Tracking[Type]&lt;&gt;"Income")*(-1)+(Tracking[Type]="Income"))</f>
        <v>-79.529999999999575</v>
      </c>
      <c r="I420" s="51">
        <f>IF(AND(Tracking[[#This Row],[Type]]="Income",shift_late_income_status="Active",DAY(Tracking[[#This Row],[Date]])&gt;=shift_late_income_starting_day),DATE(YEAR(Tracking[[#This Row],[Date]]),MONTH(Tracking[[#This Row],[Date]])+1,1),Tracking[[#This Row],[Date]])</f>
        <v>45994</v>
      </c>
    </row>
    <row r="421" spans="3:9" hidden="1" x14ac:dyDescent="0.3">
      <c r="C421" s="41">
        <v>45994</v>
      </c>
      <c r="D421" s="39" t="s">
        <v>9</v>
      </c>
      <c r="E421" s="39" t="s">
        <v>10</v>
      </c>
      <c r="F421" s="139">
        <v>22.08</v>
      </c>
      <c r="G421" s="40" t="s">
        <v>271</v>
      </c>
      <c r="H421" s="43" cm="1">
        <f t="array" ref="H421">SUMPRODUCT(Tracking[Amount],--(Tracking[Date]&lt;=Tracking[[#This Row],[Date]]),(Tracking[Type]&lt;&gt;"Income")*(-1)+(Tracking[Type]="Income"))</f>
        <v>-79.529999999999575</v>
      </c>
      <c r="I421" s="51">
        <f>IF(AND(Tracking[[#This Row],[Type]]="Income",shift_late_income_status="Active",DAY(Tracking[[#This Row],[Date]])&gt;=shift_late_income_starting_day),DATE(YEAR(Tracking[[#This Row],[Date]]),MONTH(Tracking[[#This Row],[Date]])+1,1),Tracking[[#This Row],[Date]])</f>
        <v>45994</v>
      </c>
    </row>
    <row r="422" spans="3:9" hidden="1" x14ac:dyDescent="0.3">
      <c r="C422" s="41">
        <v>45994</v>
      </c>
      <c r="D422" s="39" t="s">
        <v>9</v>
      </c>
      <c r="E422" s="39" t="s">
        <v>10</v>
      </c>
      <c r="F422" s="139">
        <v>24.9</v>
      </c>
      <c r="G422" s="40" t="s">
        <v>221</v>
      </c>
      <c r="H422" s="43" cm="1">
        <f t="array" ref="H422">SUMPRODUCT(Tracking[Amount],--(Tracking[Date]&lt;=Tracking[[#This Row],[Date]]),(Tracking[Type]&lt;&gt;"Income")*(-1)+(Tracking[Type]="Income"))</f>
        <v>-79.529999999999575</v>
      </c>
      <c r="I422" s="51">
        <f>IF(AND(Tracking[[#This Row],[Type]]="Income",shift_late_income_status="Active",DAY(Tracking[[#This Row],[Date]])&gt;=shift_late_income_starting_day),DATE(YEAR(Tracking[[#This Row],[Date]]),MONTH(Tracking[[#This Row],[Date]])+1,1),Tracking[[#This Row],[Date]])</f>
        <v>45994</v>
      </c>
    </row>
    <row r="423" spans="3:9" hidden="1" x14ac:dyDescent="0.3">
      <c r="C423" s="41">
        <v>45994</v>
      </c>
      <c r="D423" s="39" t="s">
        <v>9</v>
      </c>
      <c r="E423" s="39" t="s">
        <v>10</v>
      </c>
      <c r="F423" s="139">
        <v>25.11</v>
      </c>
      <c r="G423" s="40" t="s">
        <v>177</v>
      </c>
      <c r="H423" s="43" cm="1">
        <f t="array" ref="H423">SUMPRODUCT(Tracking[Amount],--(Tracking[Date]&lt;=Tracking[[#This Row],[Date]]),(Tracking[Type]&lt;&gt;"Income")*(-1)+(Tracking[Type]="Income"))</f>
        <v>-79.529999999999575</v>
      </c>
      <c r="I423" s="51">
        <f>IF(AND(Tracking[[#This Row],[Type]]="Income",shift_late_income_status="Active",DAY(Tracking[[#This Row],[Date]])&gt;=shift_late_income_starting_day),DATE(YEAR(Tracking[[#This Row],[Date]]),MONTH(Tracking[[#This Row],[Date]])+1,1),Tracking[[#This Row],[Date]])</f>
        <v>45994</v>
      </c>
    </row>
    <row r="424" spans="3:9" hidden="1" x14ac:dyDescent="0.3">
      <c r="C424" s="41">
        <v>45994</v>
      </c>
      <c r="D424" s="39" t="s">
        <v>9</v>
      </c>
      <c r="E424" s="39"/>
      <c r="F424" s="139">
        <v>8.65</v>
      </c>
      <c r="G424" s="40" t="s">
        <v>278</v>
      </c>
      <c r="H424" s="43" cm="1">
        <f t="array" ref="H424">SUMPRODUCT(Tracking[Amount],--(Tracking[Date]&lt;=Tracking[[#This Row],[Date]]),(Tracking[Type]&lt;&gt;"Income")*(-1)+(Tracking[Type]="Income"))</f>
        <v>-79.529999999999575</v>
      </c>
      <c r="I424" s="51">
        <f>IF(AND(Tracking[[#This Row],[Type]]="Income",shift_late_income_status="Active",DAY(Tracking[[#This Row],[Date]])&gt;=shift_late_income_starting_day),DATE(YEAR(Tracking[[#This Row],[Date]]),MONTH(Tracking[[#This Row],[Date]])+1,1),Tracking[[#This Row],[Date]])</f>
        <v>45994</v>
      </c>
    </row>
    <row r="425" spans="3:9" hidden="1" x14ac:dyDescent="0.3">
      <c r="C425" s="41">
        <v>45994</v>
      </c>
      <c r="D425" s="39" t="s">
        <v>9</v>
      </c>
      <c r="E425" s="39" t="s">
        <v>10</v>
      </c>
      <c r="F425" s="139">
        <v>9.48</v>
      </c>
      <c r="G425" s="40" t="s">
        <v>259</v>
      </c>
      <c r="H425" s="43" cm="1">
        <f t="array" ref="H425">SUMPRODUCT(Tracking[Amount],--(Tracking[Date]&lt;=Tracking[[#This Row],[Date]]),(Tracking[Type]&lt;&gt;"Income")*(-1)+(Tracking[Type]="Income"))</f>
        <v>-79.529999999999575</v>
      </c>
      <c r="I425" s="51">
        <f>IF(AND(Tracking[[#This Row],[Type]]="Income",shift_late_income_status="Active",DAY(Tracking[[#This Row],[Date]])&gt;=shift_late_income_starting_day),DATE(YEAR(Tracking[[#This Row],[Date]]),MONTH(Tracking[[#This Row],[Date]])+1,1),Tracking[[#This Row],[Date]])</f>
        <v>45994</v>
      </c>
    </row>
    <row r="426" spans="3:9" hidden="1" x14ac:dyDescent="0.3">
      <c r="C426" s="41">
        <v>45994</v>
      </c>
      <c r="D426" s="39" t="s">
        <v>9</v>
      </c>
      <c r="E426" s="39"/>
      <c r="F426" s="139">
        <v>13.69</v>
      </c>
      <c r="G426" s="40" t="s">
        <v>290</v>
      </c>
      <c r="H426" s="43" cm="1">
        <f t="array" ref="H426">SUMPRODUCT(Tracking[Amount],--(Tracking[Date]&lt;=Tracking[[#This Row],[Date]]),(Tracking[Type]&lt;&gt;"Income")*(-1)+(Tracking[Type]="Income"))</f>
        <v>-79.529999999999575</v>
      </c>
      <c r="I426" s="51">
        <f>IF(AND(Tracking[[#This Row],[Type]]="Income",shift_late_income_status="Active",DAY(Tracking[[#This Row],[Date]])&gt;=shift_late_income_starting_day),DATE(YEAR(Tracking[[#This Row],[Date]]),MONTH(Tracking[[#This Row],[Date]])+1,1),Tracking[[#This Row],[Date]])</f>
        <v>45994</v>
      </c>
    </row>
    <row r="427" spans="3:9" hidden="1" x14ac:dyDescent="0.3">
      <c r="C427" s="41">
        <v>45994</v>
      </c>
      <c r="D427" s="39" t="s">
        <v>9</v>
      </c>
      <c r="E427" s="39" t="s">
        <v>10</v>
      </c>
      <c r="F427" s="139">
        <v>10.06</v>
      </c>
      <c r="G427" s="40" t="s">
        <v>271</v>
      </c>
      <c r="H427" s="43" cm="1">
        <f t="array" ref="H427">SUMPRODUCT(Tracking[Amount],--(Tracking[Date]&lt;=Tracking[[#This Row],[Date]]),(Tracking[Type]&lt;&gt;"Income")*(-1)+(Tracking[Type]="Income"))</f>
        <v>-79.529999999999575</v>
      </c>
      <c r="I427" s="51">
        <f>IF(AND(Tracking[[#This Row],[Type]]="Income",shift_late_income_status="Active",DAY(Tracking[[#This Row],[Date]])&gt;=shift_late_income_starting_day),DATE(YEAR(Tracking[[#This Row],[Date]]),MONTH(Tracking[[#This Row],[Date]])+1,1),Tracking[[#This Row],[Date]])</f>
        <v>45994</v>
      </c>
    </row>
    <row r="428" spans="3:9" hidden="1" x14ac:dyDescent="0.3">
      <c r="C428" s="41">
        <v>45994</v>
      </c>
      <c r="D428" s="39" t="s">
        <v>9</v>
      </c>
      <c r="E428" s="39" t="s">
        <v>10</v>
      </c>
      <c r="F428" s="139">
        <v>20.66</v>
      </c>
      <c r="G428" s="40" t="s">
        <v>248</v>
      </c>
      <c r="H428" s="43" cm="1">
        <f t="array" ref="H428">SUMPRODUCT(Tracking[Amount],--(Tracking[Date]&lt;=Tracking[[#This Row],[Date]]),(Tracking[Type]&lt;&gt;"Income")*(-1)+(Tracking[Type]="Income"))</f>
        <v>-79.529999999999575</v>
      </c>
      <c r="I428" s="51">
        <f>IF(AND(Tracking[[#This Row],[Type]]="Income",shift_late_income_status="Active",DAY(Tracking[[#This Row],[Date]])&gt;=shift_late_income_starting_day),DATE(YEAR(Tracking[[#This Row],[Date]]),MONTH(Tracking[[#This Row],[Date]])+1,1),Tracking[[#This Row],[Date]])</f>
        <v>45994</v>
      </c>
    </row>
    <row r="429" spans="3:9" hidden="1" x14ac:dyDescent="0.3">
      <c r="C429" s="41">
        <v>45994</v>
      </c>
      <c r="D429" s="39" t="s">
        <v>9</v>
      </c>
      <c r="E429" s="39"/>
      <c r="F429" s="139">
        <v>38.979999999999997</v>
      </c>
      <c r="G429" s="40" t="s">
        <v>291</v>
      </c>
      <c r="H429" s="43" cm="1">
        <f t="array" ref="H429">SUMPRODUCT(Tracking[Amount],--(Tracking[Date]&lt;=Tracking[[#This Row],[Date]]),(Tracking[Type]&lt;&gt;"Income")*(-1)+(Tracking[Type]="Income"))</f>
        <v>-79.529999999999575</v>
      </c>
      <c r="I429" s="51">
        <f>IF(AND(Tracking[[#This Row],[Type]]="Income",shift_late_income_status="Active",DAY(Tracking[[#This Row],[Date]])&gt;=shift_late_income_starting_day),DATE(YEAR(Tracking[[#This Row],[Date]]),MONTH(Tracking[[#This Row],[Date]])+1,1),Tracking[[#This Row],[Date]])</f>
        <v>45994</v>
      </c>
    </row>
    <row r="430" spans="3:9" hidden="1" x14ac:dyDescent="0.3">
      <c r="C430" s="41">
        <v>45994</v>
      </c>
      <c r="D430" s="39" t="s">
        <v>9</v>
      </c>
      <c r="E430" s="39"/>
      <c r="F430" s="139">
        <v>132.47999999999999</v>
      </c>
      <c r="G430" s="40" t="s">
        <v>292</v>
      </c>
      <c r="H430" s="43" cm="1">
        <f t="array" ref="H430">SUMPRODUCT(Tracking[Amount],--(Tracking[Date]&lt;=Tracking[[#This Row],[Date]]),(Tracking[Type]&lt;&gt;"Income")*(-1)+(Tracking[Type]="Income"))</f>
        <v>-79.529999999999575</v>
      </c>
      <c r="I430" s="51">
        <f>IF(AND(Tracking[[#This Row],[Type]]="Income",shift_late_income_status="Active",DAY(Tracking[[#This Row],[Date]])&gt;=shift_late_income_starting_day),DATE(YEAR(Tracking[[#This Row],[Date]]),MONTH(Tracking[[#This Row],[Date]])+1,1),Tracking[[#This Row],[Date]])</f>
        <v>45994</v>
      </c>
    </row>
    <row r="431" spans="3:9" hidden="1" x14ac:dyDescent="0.3">
      <c r="C431" s="41">
        <v>45994</v>
      </c>
      <c r="D431" s="39" t="s">
        <v>9</v>
      </c>
      <c r="E431" s="39"/>
      <c r="F431" s="139">
        <v>31.64</v>
      </c>
      <c r="G431" s="40" t="s">
        <v>252</v>
      </c>
      <c r="H431" s="43" cm="1">
        <f t="array" ref="H431">SUMPRODUCT(Tracking[Amount],--(Tracking[Date]&lt;=Tracking[[#This Row],[Date]]),(Tracking[Type]&lt;&gt;"Income")*(-1)+(Tracking[Type]="Income"))</f>
        <v>-79.529999999999575</v>
      </c>
      <c r="I431" s="51">
        <f>IF(AND(Tracking[[#This Row],[Type]]="Income",shift_late_income_status="Active",DAY(Tracking[[#This Row],[Date]])&gt;=shift_late_income_starting_day),DATE(YEAR(Tracking[[#This Row],[Date]]),MONTH(Tracking[[#This Row],[Date]])+1,1),Tracking[[#This Row],[Date]])</f>
        <v>45994</v>
      </c>
    </row>
    <row r="432" spans="3:9" hidden="1" x14ac:dyDescent="0.3">
      <c r="C432" s="41">
        <v>45994</v>
      </c>
      <c r="D432" s="39" t="s">
        <v>9</v>
      </c>
      <c r="E432" s="39"/>
      <c r="F432" s="139">
        <v>95.26</v>
      </c>
      <c r="G432" s="40" t="s">
        <v>293</v>
      </c>
      <c r="H432" s="43" cm="1">
        <f t="array" ref="H432">SUMPRODUCT(Tracking[Amount],--(Tracking[Date]&lt;=Tracking[[#This Row],[Date]]),(Tracking[Type]&lt;&gt;"Income")*(-1)+(Tracking[Type]="Income"))</f>
        <v>-79.529999999999575</v>
      </c>
      <c r="I432" s="51">
        <f>IF(AND(Tracking[[#This Row],[Type]]="Income",shift_late_income_status="Active",DAY(Tracking[[#This Row],[Date]])&gt;=shift_late_income_starting_day),DATE(YEAR(Tracking[[#This Row],[Date]]),MONTH(Tracking[[#This Row],[Date]])+1,1),Tracking[[#This Row],[Date]])</f>
        <v>45994</v>
      </c>
    </row>
    <row r="433" spans="3:9" hidden="1" x14ac:dyDescent="0.3">
      <c r="C433" s="41">
        <v>45994</v>
      </c>
      <c r="D433" s="39" t="s">
        <v>9</v>
      </c>
      <c r="E433" s="39"/>
      <c r="F433" s="139">
        <v>10.06</v>
      </c>
      <c r="G433" s="40" t="s">
        <v>271</v>
      </c>
      <c r="H433" s="43" cm="1">
        <f t="array" ref="H433">SUMPRODUCT(Tracking[Amount],--(Tracking[Date]&lt;=Tracking[[#This Row],[Date]]),(Tracking[Type]&lt;&gt;"Income")*(-1)+(Tracking[Type]="Income"))</f>
        <v>-79.529999999999575</v>
      </c>
      <c r="I433" s="51">
        <f>IF(AND(Tracking[[#This Row],[Type]]="Income",shift_late_income_status="Active",DAY(Tracking[[#This Row],[Date]])&gt;=shift_late_income_starting_day),DATE(YEAR(Tracking[[#This Row],[Date]]),MONTH(Tracking[[#This Row],[Date]])+1,1),Tracking[[#This Row],[Date]])</f>
        <v>45994</v>
      </c>
    </row>
    <row r="434" spans="3:9" hidden="1" x14ac:dyDescent="0.3">
      <c r="C434" s="41">
        <v>45994</v>
      </c>
      <c r="D434" s="39" t="s">
        <v>9</v>
      </c>
      <c r="E434" s="39"/>
      <c r="F434" s="139">
        <v>81.180000000000007</v>
      </c>
      <c r="G434" s="40" t="s">
        <v>293</v>
      </c>
      <c r="H434" s="43" cm="1">
        <f t="array" ref="H434">SUMPRODUCT(Tracking[Amount],--(Tracking[Date]&lt;=Tracking[[#This Row],[Date]]),(Tracking[Type]&lt;&gt;"Income")*(-1)+(Tracking[Type]="Income"))</f>
        <v>-79.529999999999575</v>
      </c>
      <c r="I434" s="51">
        <f>IF(AND(Tracking[[#This Row],[Type]]="Income",shift_late_income_status="Active",DAY(Tracking[[#This Row],[Date]])&gt;=shift_late_income_starting_day),DATE(YEAR(Tracking[[#This Row],[Date]]),MONTH(Tracking[[#This Row],[Date]])+1,1),Tracking[[#This Row],[Date]])</f>
        <v>45994</v>
      </c>
    </row>
    <row r="435" spans="3:9" hidden="1" x14ac:dyDescent="0.3">
      <c r="C435" s="41">
        <v>46003</v>
      </c>
      <c r="D435" s="39" t="s">
        <v>5</v>
      </c>
      <c r="E435" s="39" t="s">
        <v>103</v>
      </c>
      <c r="F435" s="139">
        <v>721.9</v>
      </c>
      <c r="G435" s="40"/>
      <c r="H435" s="43" cm="1">
        <f t="array" ref="H435">SUMPRODUCT(Tracking[Amount],--(Tracking[Date]&lt;=Tracking[[#This Row],[Date]]),(Tracking[Type]&lt;&gt;"Income")*(-1)+(Tracking[Type]="Income"))</f>
        <v>642.37000000000035</v>
      </c>
      <c r="I435" s="51">
        <f>IF(AND(Tracking[[#This Row],[Type]]="Income",shift_late_income_status="Active",DAY(Tracking[[#This Row],[Date]])&gt;=shift_late_income_starting_day),DATE(YEAR(Tracking[[#This Row],[Date]]),MONTH(Tracking[[#This Row],[Date]])+1,1),Tracking[[#This Row],[Date]])</f>
        <v>46003</v>
      </c>
    </row>
    <row r="436" spans="3:9" hidden="1" x14ac:dyDescent="0.3">
      <c r="C436" s="41">
        <v>46003</v>
      </c>
      <c r="D436" s="39" t="s">
        <v>9</v>
      </c>
      <c r="E436" s="39"/>
      <c r="F436" s="139"/>
      <c r="G436" s="40" t="s">
        <v>293</v>
      </c>
      <c r="H436" s="43" cm="1">
        <f t="array" ref="H436">SUMPRODUCT(Tracking[Amount],--(Tracking[Date]&lt;=Tracking[[#This Row],[Date]]),(Tracking[Type]&lt;&gt;"Income")*(-1)+(Tracking[Type]="Income"))</f>
        <v>642.37000000000035</v>
      </c>
      <c r="I436" s="51">
        <f>IF(AND(Tracking[[#This Row],[Type]]="Income",shift_late_income_status="Active",DAY(Tracking[[#This Row],[Date]])&gt;=shift_late_income_starting_day),DATE(YEAR(Tracking[[#This Row],[Date]]),MONTH(Tracking[[#This Row],[Date]])+1,1),Tracking[[#This Row],[Date]])</f>
        <v>46003</v>
      </c>
    </row>
    <row r="437" spans="3:9" hidden="1" x14ac:dyDescent="0.3">
      <c r="C437" s="41">
        <v>46004</v>
      </c>
      <c r="D437" s="39" t="s">
        <v>9</v>
      </c>
      <c r="E437" s="39"/>
      <c r="F437" s="139"/>
      <c r="G437" s="40" t="s">
        <v>293</v>
      </c>
      <c r="H437" s="43" cm="1">
        <f t="array" ref="H437">SUMPRODUCT(Tracking[Amount],--(Tracking[Date]&lt;=Tracking[[#This Row],[Date]]),(Tracking[Type]&lt;&gt;"Income")*(-1)+(Tracking[Type]="Income"))</f>
        <v>642.37000000000035</v>
      </c>
      <c r="I437" s="51">
        <f>IF(AND(Tracking[[#This Row],[Type]]="Income",shift_late_income_status="Active",DAY(Tracking[[#This Row],[Date]])&gt;=shift_late_income_starting_day),DATE(YEAR(Tracking[[#This Row],[Date]]),MONTH(Tracking[[#This Row],[Date]])+1,1),Tracking[[#This Row],[Date]])</f>
        <v>46004</v>
      </c>
    </row>
    <row r="438" spans="3:9" hidden="1" x14ac:dyDescent="0.3">
      <c r="C438" s="41">
        <v>46006</v>
      </c>
      <c r="D438" s="39" t="s">
        <v>9</v>
      </c>
      <c r="E438" s="39" t="s">
        <v>10</v>
      </c>
      <c r="F438" s="139">
        <v>8.27</v>
      </c>
      <c r="G438" s="40" t="s">
        <v>149</v>
      </c>
      <c r="H438" s="43" cm="1">
        <f t="array" ref="H438">SUMPRODUCT(Tracking[Amount],--(Tracking[Date]&lt;=Tracking[[#This Row],[Date]]),(Tracking[Type]&lt;&gt;"Income")*(-1)+(Tracking[Type]="Income"))</f>
        <v>595.9400000000004</v>
      </c>
      <c r="I438" s="51">
        <f>IF(AND(Tracking[[#This Row],[Type]]="Income",shift_late_income_status="Active",DAY(Tracking[[#This Row],[Date]])&gt;=shift_late_income_starting_day),DATE(YEAR(Tracking[[#This Row],[Date]]),MONTH(Tracking[[#This Row],[Date]])+1,1),Tracking[[#This Row],[Date]])</f>
        <v>46006</v>
      </c>
    </row>
    <row r="439" spans="3:9" hidden="1" x14ac:dyDescent="0.3">
      <c r="C439" s="41">
        <v>46006</v>
      </c>
      <c r="D439" s="39" t="s">
        <v>9</v>
      </c>
      <c r="E439" s="39" t="s">
        <v>10</v>
      </c>
      <c r="F439" s="139">
        <v>9.7100000000000009</v>
      </c>
      <c r="G439" s="40" t="s">
        <v>149</v>
      </c>
      <c r="H439" s="43" cm="1">
        <f t="array" ref="H439">SUMPRODUCT(Tracking[Amount],--(Tracking[Date]&lt;=Tracking[[#This Row],[Date]]),(Tracking[Type]&lt;&gt;"Income")*(-1)+(Tracking[Type]="Income"))</f>
        <v>595.9400000000004</v>
      </c>
      <c r="I439" s="51">
        <f>IF(AND(Tracking[[#This Row],[Type]]="Income",shift_late_income_status="Active",DAY(Tracking[[#This Row],[Date]])&gt;=shift_late_income_starting_day),DATE(YEAR(Tracking[[#This Row],[Date]]),MONTH(Tracking[[#This Row],[Date]])+1,1),Tracking[[#This Row],[Date]])</f>
        <v>46006</v>
      </c>
    </row>
    <row r="440" spans="3:9" hidden="1" x14ac:dyDescent="0.3">
      <c r="C440" s="41">
        <v>46006</v>
      </c>
      <c r="D440" s="39" t="s">
        <v>9</v>
      </c>
      <c r="E440" s="39" t="s">
        <v>10</v>
      </c>
      <c r="F440" s="139">
        <v>10.06</v>
      </c>
      <c r="G440" s="40" t="s">
        <v>271</v>
      </c>
      <c r="H440" s="43" cm="1">
        <f t="array" ref="H440">SUMPRODUCT(Tracking[Amount],--(Tracking[Date]&lt;=Tracking[[#This Row],[Date]]),(Tracking[Type]&lt;&gt;"Income")*(-1)+(Tracking[Type]="Income"))</f>
        <v>595.9400000000004</v>
      </c>
      <c r="I440" s="51">
        <f>IF(AND(Tracking[[#This Row],[Type]]="Income",shift_late_income_status="Active",DAY(Tracking[[#This Row],[Date]])&gt;=shift_late_income_starting_day),DATE(YEAR(Tracking[[#This Row],[Date]]),MONTH(Tracking[[#This Row],[Date]])+1,1),Tracking[[#This Row],[Date]])</f>
        <v>46006</v>
      </c>
    </row>
    <row r="441" spans="3:9" hidden="1" x14ac:dyDescent="0.3">
      <c r="C441" s="41">
        <v>46006</v>
      </c>
      <c r="D441" s="39" t="s">
        <v>9</v>
      </c>
      <c r="E441" s="39" t="s">
        <v>108</v>
      </c>
      <c r="F441" s="139">
        <v>18.39</v>
      </c>
      <c r="G441" s="40" t="s">
        <v>293</v>
      </c>
      <c r="H441" s="43" cm="1">
        <f t="array" ref="H441">SUMPRODUCT(Tracking[Amount],--(Tracking[Date]&lt;=Tracking[[#This Row],[Date]]),(Tracking[Type]&lt;&gt;"Income")*(-1)+(Tracking[Type]="Income"))</f>
        <v>595.9400000000004</v>
      </c>
      <c r="I441" s="51">
        <f>IF(AND(Tracking[[#This Row],[Type]]="Income",shift_late_income_status="Active",DAY(Tracking[[#This Row],[Date]])&gt;=shift_late_income_starting_day),DATE(YEAR(Tracking[[#This Row],[Date]]),MONTH(Tracking[[#This Row],[Date]])+1,1),Tracking[[#This Row],[Date]])</f>
        <v>46006</v>
      </c>
    </row>
    <row r="442" spans="3:9" hidden="1" x14ac:dyDescent="0.3">
      <c r="C442" s="41">
        <v>46008</v>
      </c>
      <c r="D442" s="39" t="s">
        <v>9</v>
      </c>
      <c r="E442" s="39" t="s">
        <v>10</v>
      </c>
      <c r="F442" s="139">
        <v>10.06</v>
      </c>
      <c r="G442" s="40" t="s">
        <v>271</v>
      </c>
      <c r="H442" s="43" cm="1">
        <f t="array" ref="H442">SUMPRODUCT(Tracking[Amount],--(Tracking[Date]&lt;=Tracking[[#This Row],[Date]]),(Tracking[Type]&lt;&gt;"Income")*(-1)+(Tracking[Type]="Income"))</f>
        <v>509.28000000000043</v>
      </c>
      <c r="I442" s="51">
        <f>IF(AND(Tracking[[#This Row],[Type]]="Income",shift_late_income_status="Active",DAY(Tracking[[#This Row],[Date]])&gt;=shift_late_income_starting_day),DATE(YEAR(Tracking[[#This Row],[Date]]),MONTH(Tracking[[#This Row],[Date]])+1,1),Tracking[[#This Row],[Date]])</f>
        <v>46008</v>
      </c>
    </row>
    <row r="443" spans="3:9" hidden="1" x14ac:dyDescent="0.3">
      <c r="C443" s="41">
        <v>46008</v>
      </c>
      <c r="D443" s="39" t="s">
        <v>9</v>
      </c>
      <c r="E443" s="39" t="s">
        <v>10</v>
      </c>
      <c r="F443" s="139">
        <v>13.84</v>
      </c>
      <c r="G443" s="40" t="s">
        <v>248</v>
      </c>
      <c r="H443" s="43" cm="1">
        <f t="array" ref="H443">SUMPRODUCT(Tracking[Amount],--(Tracking[Date]&lt;=Tracking[[#This Row],[Date]]),(Tracking[Type]&lt;&gt;"Income")*(-1)+(Tracking[Type]="Income"))</f>
        <v>509.28000000000043</v>
      </c>
      <c r="I443" s="51">
        <f>IF(AND(Tracking[[#This Row],[Type]]="Income",shift_late_income_status="Active",DAY(Tracking[[#This Row],[Date]])&gt;=shift_late_income_starting_day),DATE(YEAR(Tracking[[#This Row],[Date]]),MONTH(Tracking[[#This Row],[Date]])+1,1),Tracking[[#This Row],[Date]])</f>
        <v>46008</v>
      </c>
    </row>
    <row r="444" spans="3:9" hidden="1" x14ac:dyDescent="0.3">
      <c r="C444" s="41">
        <v>46008</v>
      </c>
      <c r="D444" s="39" t="s">
        <v>9</v>
      </c>
      <c r="E444" s="39" t="s">
        <v>108</v>
      </c>
      <c r="F444" s="139">
        <v>62.76</v>
      </c>
      <c r="G444" s="40" t="s">
        <v>293</v>
      </c>
      <c r="H444" s="43" cm="1">
        <f t="array" ref="H444">SUMPRODUCT(Tracking[Amount],--(Tracking[Date]&lt;=Tracking[[#This Row],[Date]]),(Tracking[Type]&lt;&gt;"Income")*(-1)+(Tracking[Type]="Income"))</f>
        <v>509.28000000000043</v>
      </c>
      <c r="I444" s="51">
        <f>IF(AND(Tracking[[#This Row],[Type]]="Income",shift_late_income_status="Active",DAY(Tracking[[#This Row],[Date]])&gt;=shift_late_income_starting_day),DATE(YEAR(Tracking[[#This Row],[Date]]),MONTH(Tracking[[#This Row],[Date]])+1,1),Tracking[[#This Row],[Date]])</f>
        <v>46008</v>
      </c>
    </row>
    <row r="445" spans="3:9" hidden="1" x14ac:dyDescent="0.3">
      <c r="C445" s="41">
        <v>46009</v>
      </c>
      <c r="D445" s="39" t="s">
        <v>9</v>
      </c>
      <c r="E445" s="39" t="s">
        <v>10</v>
      </c>
      <c r="F445" s="139">
        <v>10.06</v>
      </c>
      <c r="G445" s="40" t="s">
        <v>271</v>
      </c>
      <c r="H445" s="43" cm="1">
        <f t="array" ref="H445">SUMPRODUCT(Tracking[Amount],--(Tracking[Date]&lt;=Tracking[[#This Row],[Date]]),(Tracking[Type]&lt;&gt;"Income")*(-1)+(Tracking[Type]="Income"))</f>
        <v>464.59000000000043</v>
      </c>
      <c r="I445" s="51">
        <f>IF(AND(Tracking[[#This Row],[Type]]="Income",shift_late_income_status="Active",DAY(Tracking[[#This Row],[Date]])&gt;=shift_late_income_starting_day),DATE(YEAR(Tracking[[#This Row],[Date]]),MONTH(Tracking[[#This Row],[Date]])+1,1),Tracking[[#This Row],[Date]])</f>
        <v>46009</v>
      </c>
    </row>
    <row r="446" spans="3:9" hidden="1" x14ac:dyDescent="0.3">
      <c r="C446" s="41">
        <v>46010</v>
      </c>
      <c r="D446" s="39" t="s">
        <v>9</v>
      </c>
      <c r="E446" s="39" t="s">
        <v>10</v>
      </c>
      <c r="F446" s="139">
        <v>10.06</v>
      </c>
      <c r="G446" s="40" t="s">
        <v>271</v>
      </c>
      <c r="H446" s="43" cm="1">
        <f t="array" ref="H446">SUMPRODUCT(Tracking[Amount],--(Tracking[Date]&lt;=Tracking[[#This Row],[Date]]),(Tracking[Type]&lt;&gt;"Income")*(-1)+(Tracking[Type]="Income"))</f>
        <v>370.57000000000045</v>
      </c>
      <c r="I446" s="51">
        <f>IF(AND(Tracking[[#This Row],[Type]]="Income",shift_late_income_status="Active",DAY(Tracking[[#This Row],[Date]])&gt;=shift_late_income_starting_day),DATE(YEAR(Tracking[[#This Row],[Date]]),MONTH(Tracking[[#This Row],[Date]])+1,1),Tracking[[#This Row],[Date]])</f>
        <v>46010</v>
      </c>
    </row>
    <row r="447" spans="3:9" hidden="1" x14ac:dyDescent="0.3">
      <c r="C447" s="41">
        <v>46009</v>
      </c>
      <c r="D447" s="39" t="s">
        <v>9</v>
      </c>
      <c r="E447" s="39" t="s">
        <v>111</v>
      </c>
      <c r="F447" s="139">
        <v>34.630000000000003</v>
      </c>
      <c r="G447" s="40" t="s">
        <v>238</v>
      </c>
      <c r="H447" s="43" cm="1">
        <f t="array" ref="H447">SUMPRODUCT(Tracking[Amount],--(Tracking[Date]&lt;=Tracking[[#This Row],[Date]]),(Tracking[Type]&lt;&gt;"Income")*(-1)+(Tracking[Type]="Income"))</f>
        <v>464.59000000000043</v>
      </c>
      <c r="I447" s="51">
        <f>IF(AND(Tracking[[#This Row],[Type]]="Income",shift_late_income_status="Active",DAY(Tracking[[#This Row],[Date]])&gt;=shift_late_income_starting_day),DATE(YEAR(Tracking[[#This Row],[Date]]),MONTH(Tracking[[#This Row],[Date]])+1,1),Tracking[[#This Row],[Date]])</f>
        <v>46009</v>
      </c>
    </row>
    <row r="448" spans="3:9" hidden="1" x14ac:dyDescent="0.3">
      <c r="C448" s="41">
        <v>46010</v>
      </c>
      <c r="D448" s="39" t="s">
        <v>9</v>
      </c>
      <c r="E448" s="39" t="s">
        <v>10</v>
      </c>
      <c r="F448" s="139">
        <v>19.329999999999998</v>
      </c>
      <c r="G448" s="40" t="s">
        <v>294</v>
      </c>
      <c r="H448" s="43" cm="1">
        <f t="array" ref="H448">SUMPRODUCT(Tracking[Amount],--(Tracking[Date]&lt;=Tracking[[#This Row],[Date]]),(Tracking[Type]&lt;&gt;"Income")*(-1)+(Tracking[Type]="Income"))</f>
        <v>370.57000000000045</v>
      </c>
      <c r="I448" s="51">
        <f>IF(AND(Tracking[[#This Row],[Type]]="Income",shift_late_income_status="Active",DAY(Tracking[[#This Row],[Date]])&gt;=shift_late_income_starting_day),DATE(YEAR(Tracking[[#This Row],[Date]]),MONTH(Tracking[[#This Row],[Date]])+1,1),Tracking[[#This Row],[Date]])</f>
        <v>46010</v>
      </c>
    </row>
    <row r="449" spans="3:9" hidden="1" x14ac:dyDescent="0.3">
      <c r="C449" s="41">
        <v>46010</v>
      </c>
      <c r="D449" s="39" t="s">
        <v>9</v>
      </c>
      <c r="E449" s="39" t="s">
        <v>10</v>
      </c>
      <c r="F449" s="139">
        <v>28.88</v>
      </c>
      <c r="G449" s="40" t="s">
        <v>295</v>
      </c>
      <c r="H449" s="43" cm="1">
        <f t="array" ref="H449">SUMPRODUCT(Tracking[Amount],--(Tracking[Date]&lt;=Tracking[[#This Row],[Date]]),(Tracking[Type]&lt;&gt;"Income")*(-1)+(Tracking[Type]="Income"))</f>
        <v>370.57000000000045</v>
      </c>
      <c r="I449" s="51">
        <f>IF(AND(Tracking[[#This Row],[Type]]="Income",shift_late_income_status="Active",DAY(Tracking[[#This Row],[Date]])&gt;=shift_late_income_starting_day),DATE(YEAR(Tracking[[#This Row],[Date]]),MONTH(Tracking[[#This Row],[Date]])+1,1),Tracking[[#This Row],[Date]])</f>
        <v>46010</v>
      </c>
    </row>
    <row r="450" spans="3:9" hidden="1" x14ac:dyDescent="0.3">
      <c r="C450" s="41">
        <v>46010</v>
      </c>
      <c r="D450" s="39" t="s">
        <v>9</v>
      </c>
      <c r="E450" s="39" t="s">
        <v>12</v>
      </c>
      <c r="F450" s="139">
        <v>25.69</v>
      </c>
      <c r="G450" s="40" t="s">
        <v>289</v>
      </c>
      <c r="H450" s="43" cm="1">
        <f t="array" ref="H450">SUMPRODUCT(Tracking[Amount],--(Tracking[Date]&lt;=Tracking[[#This Row],[Date]]),(Tracking[Type]&lt;&gt;"Income")*(-1)+(Tracking[Type]="Income"))</f>
        <v>370.57000000000045</v>
      </c>
      <c r="I450" s="51">
        <f>IF(AND(Tracking[[#This Row],[Type]]="Income",shift_late_income_status="Active",DAY(Tracking[[#This Row],[Date]])&gt;=shift_late_income_starting_day),DATE(YEAR(Tracking[[#This Row],[Date]]),MONTH(Tracking[[#This Row],[Date]])+1,1),Tracking[[#This Row],[Date]])</f>
        <v>46010</v>
      </c>
    </row>
    <row r="451" spans="3:9" hidden="1" x14ac:dyDescent="0.3">
      <c r="C451" s="41">
        <v>46010</v>
      </c>
      <c r="D451" s="39" t="s">
        <v>9</v>
      </c>
      <c r="E451" s="39" t="s">
        <v>10</v>
      </c>
      <c r="F451" s="139">
        <v>10.06</v>
      </c>
      <c r="G451" s="40" t="s">
        <v>271</v>
      </c>
      <c r="H451" s="43" cm="1">
        <f t="array" ref="H451">SUMPRODUCT(Tracking[Amount],--(Tracking[Date]&lt;=Tracking[[#This Row],[Date]]),(Tracking[Type]&lt;&gt;"Income")*(-1)+(Tracking[Type]="Income"))</f>
        <v>370.57000000000045</v>
      </c>
      <c r="I451" s="51">
        <f>IF(AND(Tracking[[#This Row],[Type]]="Income",shift_late_income_status="Active",DAY(Tracking[[#This Row],[Date]])&gt;=shift_late_income_starting_day),DATE(YEAR(Tracking[[#This Row],[Date]]),MONTH(Tracking[[#This Row],[Date]])+1,1),Tracking[[#This Row],[Date]])</f>
        <v>46010</v>
      </c>
    </row>
    <row r="452" spans="3:9" hidden="1" x14ac:dyDescent="0.3">
      <c r="C452" s="41">
        <v>46011</v>
      </c>
      <c r="D452" s="39" t="s">
        <v>9</v>
      </c>
      <c r="E452" s="39" t="s">
        <v>10</v>
      </c>
      <c r="F452" s="139">
        <v>11</v>
      </c>
      <c r="G452" s="40" t="s">
        <v>149</v>
      </c>
      <c r="H452" s="43" cm="1">
        <f t="array" ref="H452">SUMPRODUCT(Tracking[Amount],--(Tracking[Date]&lt;=Tracking[[#This Row],[Date]]),(Tracking[Type]&lt;&gt;"Income")*(-1)+(Tracking[Type]="Income"))</f>
        <v>359.57000000000045</v>
      </c>
      <c r="I452" s="51">
        <f>IF(AND(Tracking[[#This Row],[Type]]="Income",shift_late_income_status="Active",DAY(Tracking[[#This Row],[Date]])&gt;=shift_late_income_starting_day),DATE(YEAR(Tracking[[#This Row],[Date]]),MONTH(Tracking[[#This Row],[Date]])+1,1),Tracking[[#This Row],[Date]])</f>
        <v>46011</v>
      </c>
    </row>
    <row r="453" spans="3:9" hidden="1" x14ac:dyDescent="0.3">
      <c r="C453" s="41">
        <v>46013</v>
      </c>
      <c r="D453" s="39" t="s">
        <v>9</v>
      </c>
      <c r="E453" s="39" t="s">
        <v>108</v>
      </c>
      <c r="F453" s="139">
        <v>143.94999999999999</v>
      </c>
      <c r="G453" s="40" t="s">
        <v>296</v>
      </c>
      <c r="H453" s="43" cm="1">
        <f t="array" ref="H453">SUMPRODUCT(Tracking[Amount],--(Tracking[Date]&lt;=Tracking[[#This Row],[Date]]),(Tracking[Type]&lt;&gt;"Income")*(-1)+(Tracking[Type]="Income"))</f>
        <v>215.62000000000046</v>
      </c>
      <c r="I453" s="51">
        <f>IF(AND(Tracking[[#This Row],[Type]]="Income",shift_late_income_status="Active",DAY(Tracking[[#This Row],[Date]])&gt;=shift_late_income_starting_day),DATE(YEAR(Tracking[[#This Row],[Date]]),MONTH(Tracking[[#This Row],[Date]])+1,1),Tracking[[#This Row],[Date]])</f>
        <v>46013</v>
      </c>
    </row>
    <row r="454" spans="3:9" hidden="1" x14ac:dyDescent="0.3">
      <c r="C454" s="41">
        <v>46014</v>
      </c>
      <c r="D454" s="39" t="s">
        <v>9</v>
      </c>
      <c r="E454" s="39" t="s">
        <v>111</v>
      </c>
      <c r="F454" s="139">
        <v>40</v>
      </c>
      <c r="G454" s="40"/>
      <c r="H454" s="43" cm="1">
        <f t="array" ref="H454">SUMPRODUCT(Tracking[Amount],--(Tracking[Date]&lt;=Tracking[[#This Row],[Date]]),(Tracking[Type]&lt;&gt;"Income")*(-1)+(Tracking[Type]="Income"))</f>
        <v>175.62000000000046</v>
      </c>
      <c r="I454" s="51">
        <f>IF(AND(Tracking[[#This Row],[Type]]="Income",shift_late_income_status="Active",DAY(Tracking[[#This Row],[Date]])&gt;=shift_late_income_starting_day),DATE(YEAR(Tracking[[#This Row],[Date]]),MONTH(Tracking[[#This Row],[Date]])+1,1),Tracking[[#This Row],[Date]])</f>
        <v>46014</v>
      </c>
    </row>
    <row r="455" spans="3:9" hidden="1" x14ac:dyDescent="0.3">
      <c r="C455" s="41">
        <v>46015</v>
      </c>
      <c r="D455" s="39" t="s">
        <v>9</v>
      </c>
      <c r="E455" s="39" t="s">
        <v>10</v>
      </c>
      <c r="F455" s="139">
        <v>10.06</v>
      </c>
      <c r="G455" s="40" t="s">
        <v>271</v>
      </c>
      <c r="H455" s="43" cm="1">
        <f t="array" ref="H455">SUMPRODUCT(Tracking[Amount],--(Tracking[Date]&lt;=Tracking[[#This Row],[Date]]),(Tracking[Type]&lt;&gt;"Income")*(-1)+(Tracking[Type]="Income"))</f>
        <v>119.56000000000046</v>
      </c>
      <c r="I455" s="51">
        <f>IF(AND(Tracking[[#This Row],[Type]]="Income",shift_late_income_status="Active",DAY(Tracking[[#This Row],[Date]])&gt;=shift_late_income_starting_day),DATE(YEAR(Tracking[[#This Row],[Date]]),MONTH(Tracking[[#This Row],[Date]])+1,1),Tracking[[#This Row],[Date]])</f>
        <v>46015</v>
      </c>
    </row>
    <row r="456" spans="3:9" hidden="1" x14ac:dyDescent="0.3">
      <c r="C456" s="41">
        <v>46015</v>
      </c>
      <c r="D456" s="39" t="s">
        <v>9</v>
      </c>
      <c r="E456" s="39" t="s">
        <v>111</v>
      </c>
      <c r="F456" s="139">
        <v>46</v>
      </c>
      <c r="G456" s="40" t="s">
        <v>297</v>
      </c>
      <c r="H456" s="43" cm="1">
        <f t="array" ref="H456">SUMPRODUCT(Tracking[Amount],--(Tracking[Date]&lt;=Tracking[[#This Row],[Date]]),(Tracking[Type]&lt;&gt;"Income")*(-1)+(Tracking[Type]="Income"))</f>
        <v>119.56000000000046</v>
      </c>
      <c r="I456" s="51">
        <f>IF(AND(Tracking[[#This Row],[Type]]="Income",shift_late_income_status="Active",DAY(Tracking[[#This Row],[Date]])&gt;=shift_late_income_starting_day),DATE(YEAR(Tracking[[#This Row],[Date]]),MONTH(Tracking[[#This Row],[Date]])+1,1),Tracking[[#This Row],[Date]])</f>
        <v>46015</v>
      </c>
    </row>
    <row r="457" spans="3:9" hidden="1" x14ac:dyDescent="0.3">
      <c r="C457" s="41">
        <v>46017</v>
      </c>
      <c r="D457" s="39" t="s">
        <v>5</v>
      </c>
      <c r="E457" s="39" t="s">
        <v>103</v>
      </c>
      <c r="F457" s="139">
        <v>780.12</v>
      </c>
      <c r="G457" s="40"/>
      <c r="H457" s="43" cm="1">
        <f t="array" ref="H457">SUMPRODUCT(Tracking[Amount],--(Tracking[Date]&lt;=Tracking[[#This Row],[Date]]),(Tracking[Type]&lt;&gt;"Income")*(-1)+(Tracking[Type]="Income"))</f>
        <v>889.62000000000057</v>
      </c>
      <c r="I457" s="51">
        <f>IF(AND(Tracking[[#This Row],[Type]]="Income",shift_late_income_status="Active",DAY(Tracking[[#This Row],[Date]])&gt;=shift_late_income_starting_day),DATE(YEAR(Tracking[[#This Row],[Date]]),MONTH(Tracking[[#This Row],[Date]])+1,1),Tracking[[#This Row],[Date]])</f>
        <v>46023</v>
      </c>
    </row>
    <row r="458" spans="3:9" hidden="1" x14ac:dyDescent="0.3">
      <c r="C458" s="41">
        <v>46017</v>
      </c>
      <c r="D458" s="39" t="s">
        <v>9</v>
      </c>
      <c r="E458" s="39" t="s">
        <v>10</v>
      </c>
      <c r="F458" s="139">
        <v>10.06</v>
      </c>
      <c r="G458" s="40" t="s">
        <v>271</v>
      </c>
      <c r="H458" s="43" cm="1">
        <f t="array" ref="H458">SUMPRODUCT(Tracking[Amount],--(Tracking[Date]&lt;=Tracking[[#This Row],[Date]]),(Tracking[Type]&lt;&gt;"Income")*(-1)+(Tracking[Type]="Income"))</f>
        <v>889.62000000000057</v>
      </c>
      <c r="I458" s="51">
        <f>IF(AND(Tracking[[#This Row],[Type]]="Income",shift_late_income_status="Active",DAY(Tracking[[#This Row],[Date]])&gt;=shift_late_income_starting_day),DATE(YEAR(Tracking[[#This Row],[Date]]),MONTH(Tracking[[#This Row],[Date]])+1,1),Tracking[[#This Row],[Date]])</f>
        <v>46017</v>
      </c>
    </row>
    <row r="459" spans="3:9" hidden="1" x14ac:dyDescent="0.3">
      <c r="C459" s="41">
        <v>46020</v>
      </c>
      <c r="D459" s="39" t="s">
        <v>9</v>
      </c>
      <c r="E459" s="39" t="s">
        <v>111</v>
      </c>
      <c r="F459" s="139">
        <v>36</v>
      </c>
      <c r="G459" s="40"/>
      <c r="H459" s="43" cm="1">
        <f t="array" ref="H459">SUMPRODUCT(Tracking[Amount],--(Tracking[Date]&lt;=Tracking[[#This Row],[Date]]),(Tracking[Type]&lt;&gt;"Income")*(-1)+(Tracking[Type]="Income"))</f>
        <v>853.62000000000057</v>
      </c>
      <c r="I459" s="51">
        <f>IF(AND(Tracking[[#This Row],[Type]]="Income",shift_late_income_status="Active",DAY(Tracking[[#This Row],[Date]])&gt;=shift_late_income_starting_day),DATE(YEAR(Tracking[[#This Row],[Date]]),MONTH(Tracking[[#This Row],[Date]])+1,1),Tracking[[#This Row],[Date]])</f>
        <v>46020</v>
      </c>
    </row>
    <row r="460" spans="3:9" hidden="1" x14ac:dyDescent="0.3">
      <c r="C460" s="41">
        <v>46021</v>
      </c>
      <c r="D460" s="39" t="s">
        <v>9</v>
      </c>
      <c r="E460" s="39" t="s">
        <v>10</v>
      </c>
      <c r="F460" s="139">
        <v>13.39</v>
      </c>
      <c r="G460" s="40" t="s">
        <v>173</v>
      </c>
      <c r="H460" s="43" cm="1">
        <f t="array" ref="H460">SUMPRODUCT(Tracking[Amount],--(Tracking[Date]&lt;=Tracking[[#This Row],[Date]]),(Tracking[Type]&lt;&gt;"Income")*(-1)+(Tracking[Type]="Income"))</f>
        <v>821.2200000000006</v>
      </c>
      <c r="I460" s="51">
        <f>IF(AND(Tracking[[#This Row],[Type]]="Income",shift_late_income_status="Active",DAY(Tracking[[#This Row],[Date]])&gt;=shift_late_income_starting_day),DATE(YEAR(Tracking[[#This Row],[Date]]),MONTH(Tracking[[#This Row],[Date]])+1,1),Tracking[[#This Row],[Date]])</f>
        <v>46021</v>
      </c>
    </row>
    <row r="461" spans="3:9" hidden="1" x14ac:dyDescent="0.3">
      <c r="C461" s="41">
        <v>46021</v>
      </c>
      <c r="D461" s="39" t="s">
        <v>9</v>
      </c>
      <c r="E461" s="39" t="s">
        <v>12</v>
      </c>
      <c r="F461" s="139">
        <v>19.010000000000002</v>
      </c>
      <c r="G461" s="40" t="s">
        <v>298</v>
      </c>
      <c r="H461" s="43" cm="1">
        <f t="array" ref="H461">SUMPRODUCT(Tracking[Amount],--(Tracking[Date]&lt;=Tracking[[#This Row],[Date]]),(Tracking[Type]&lt;&gt;"Income")*(-1)+(Tracking[Type]="Income"))</f>
        <v>821.2200000000006</v>
      </c>
      <c r="I461" s="51">
        <f>IF(AND(Tracking[[#This Row],[Type]]="Income",shift_late_income_status="Active",DAY(Tracking[[#This Row],[Date]])&gt;=shift_late_income_starting_day),DATE(YEAR(Tracking[[#This Row],[Date]]),MONTH(Tracking[[#This Row],[Date]])+1,1),Tracking[[#This Row],[Date]])</f>
        <v>46021</v>
      </c>
    </row>
    <row r="462" spans="3:9" hidden="1" x14ac:dyDescent="0.3">
      <c r="C462" s="41">
        <v>46022</v>
      </c>
      <c r="D462" s="39" t="s">
        <v>9</v>
      </c>
      <c r="E462" s="39" t="s">
        <v>108</v>
      </c>
      <c r="F462" s="139">
        <v>1.06</v>
      </c>
      <c r="G462" s="40"/>
      <c r="H462" s="43" cm="1">
        <f t="array" ref="H462">SUMPRODUCT(Tracking[Amount],--(Tracking[Date]&lt;=Tracking[[#This Row],[Date]]),(Tracking[Type]&lt;&gt;"Income")*(-1)+(Tracking[Type]="Income"))</f>
        <v>786.7100000000006</v>
      </c>
      <c r="I462" s="51">
        <f>IF(AND(Tracking[[#This Row],[Type]]="Income",shift_late_income_status="Active",DAY(Tracking[[#This Row],[Date]])&gt;=shift_late_income_starting_day),DATE(YEAR(Tracking[[#This Row],[Date]]),MONTH(Tracking[[#This Row],[Date]])+1,1),Tracking[[#This Row],[Date]])</f>
        <v>46022</v>
      </c>
    </row>
    <row r="463" spans="3:9" hidden="1" x14ac:dyDescent="0.3">
      <c r="C463" s="41">
        <v>46022</v>
      </c>
      <c r="D463" s="39" t="s">
        <v>9</v>
      </c>
      <c r="E463" s="39" t="s">
        <v>10</v>
      </c>
      <c r="F463" s="139">
        <v>3.45</v>
      </c>
      <c r="G463" s="40"/>
      <c r="H463" s="43" cm="1">
        <f t="array" ref="H463">SUMPRODUCT(Tracking[Amount],--(Tracking[Date]&lt;=Tracking[[#This Row],[Date]]),(Tracking[Type]&lt;&gt;"Income")*(-1)+(Tracking[Type]="Income"))</f>
        <v>786.7100000000006</v>
      </c>
      <c r="I463" s="51">
        <f>IF(AND(Tracking[[#This Row],[Type]]="Income",shift_late_income_status="Active",DAY(Tracking[[#This Row],[Date]])&gt;=shift_late_income_starting_day),DATE(YEAR(Tracking[[#This Row],[Date]]),MONTH(Tracking[[#This Row],[Date]])+1,1),Tracking[[#This Row],[Date]])</f>
        <v>46022</v>
      </c>
    </row>
    <row r="464" spans="3:9" hidden="1" x14ac:dyDescent="0.3">
      <c r="C464" s="41">
        <v>46022</v>
      </c>
      <c r="D464" s="39" t="s">
        <v>9</v>
      </c>
      <c r="E464" s="39" t="s">
        <v>10</v>
      </c>
      <c r="F464" s="139">
        <v>5.41</v>
      </c>
      <c r="G464" s="40"/>
      <c r="H464" s="43" cm="1">
        <f t="array" ref="H464">SUMPRODUCT(Tracking[Amount],--(Tracking[Date]&lt;=Tracking[[#This Row],[Date]]),(Tracking[Type]&lt;&gt;"Income")*(-1)+(Tracking[Type]="Income"))</f>
        <v>786.7100000000006</v>
      </c>
      <c r="I464" s="51">
        <f>IF(AND(Tracking[[#This Row],[Type]]="Income",shift_late_income_status="Active",DAY(Tracking[[#This Row],[Date]])&gt;=shift_late_income_starting_day),DATE(YEAR(Tracking[[#This Row],[Date]]),MONTH(Tracking[[#This Row],[Date]])+1,1),Tracking[[#This Row],[Date]])</f>
        <v>46022</v>
      </c>
    </row>
    <row r="465" spans="3:9" hidden="1" x14ac:dyDescent="0.3">
      <c r="C465" s="41">
        <v>46022</v>
      </c>
      <c r="D465" s="39" t="s">
        <v>9</v>
      </c>
      <c r="E465" s="39" t="s">
        <v>10</v>
      </c>
      <c r="F465" s="139">
        <v>24.59</v>
      </c>
      <c r="G465" s="40"/>
      <c r="H465" s="43" cm="1">
        <f t="array" ref="H465">SUMPRODUCT(Tracking[Amount],--(Tracking[Date]&lt;=Tracking[[#This Row],[Date]]),(Tracking[Type]&lt;&gt;"Income")*(-1)+(Tracking[Type]="Income"))</f>
        <v>786.7100000000006</v>
      </c>
      <c r="I465" s="51">
        <f>IF(AND(Tracking[[#This Row],[Type]]="Income",shift_late_income_status="Active",DAY(Tracking[[#This Row],[Date]])&gt;=shift_late_income_starting_day),DATE(YEAR(Tracking[[#This Row],[Date]]),MONTH(Tracking[[#This Row],[Date]])+1,1),Tracking[[#This Row],[Date]])</f>
        <v>46022</v>
      </c>
    </row>
    <row r="466" spans="3:9" x14ac:dyDescent="0.3">
      <c r="C466" s="41">
        <v>46024</v>
      </c>
      <c r="D466" s="39" t="s">
        <v>9</v>
      </c>
      <c r="E466" s="39" t="s">
        <v>12</v>
      </c>
      <c r="F466" s="139">
        <v>16.18</v>
      </c>
      <c r="G466" s="40" t="s">
        <v>289</v>
      </c>
      <c r="H466" s="43" cm="1">
        <f t="array" ref="H466">SUMPRODUCT(Tracking[Amount],--(Tracking[Date]&lt;=Tracking[[#This Row],[Date]]),(Tracking[Type]&lt;&gt;"Income")*(-1)+(Tracking[Type]="Income"))</f>
        <v>745.47000000000071</v>
      </c>
      <c r="I466" s="51">
        <f>IF(AND(Tracking[[#This Row],[Type]]="Income",shift_late_income_status="Active",DAY(Tracking[[#This Row],[Date]])&gt;=shift_late_income_starting_day),DATE(YEAR(Tracking[[#This Row],[Date]]),MONTH(Tracking[[#This Row],[Date]])+1,1),Tracking[[#This Row],[Date]])</f>
        <v>46024</v>
      </c>
    </row>
    <row r="467" spans="3:9" x14ac:dyDescent="0.3">
      <c r="C467" s="41">
        <v>46024</v>
      </c>
      <c r="D467" s="39" t="s">
        <v>9</v>
      </c>
      <c r="E467" s="39" t="s">
        <v>108</v>
      </c>
      <c r="F467" s="139">
        <v>25.06</v>
      </c>
      <c r="G467" s="40" t="s">
        <v>299</v>
      </c>
      <c r="H467" s="43" cm="1">
        <f t="array" ref="H467">SUMPRODUCT(Tracking[Amount],--(Tracking[Date]&lt;=Tracking[[#This Row],[Date]]),(Tracking[Type]&lt;&gt;"Income")*(-1)+(Tracking[Type]="Income"))</f>
        <v>745.47000000000071</v>
      </c>
      <c r="I467" s="51">
        <f>IF(AND(Tracking[[#This Row],[Type]]="Income",shift_late_income_status="Active",DAY(Tracking[[#This Row],[Date]])&gt;=shift_late_income_starting_day),DATE(YEAR(Tracking[[#This Row],[Date]]),MONTH(Tracking[[#This Row],[Date]])+1,1),Tracking[[#This Row],[Date]])</f>
        <v>46024</v>
      </c>
    </row>
    <row r="468" spans="3:9" x14ac:dyDescent="0.3">
      <c r="C468" s="41">
        <v>46027</v>
      </c>
      <c r="D468" s="39" t="s">
        <v>9</v>
      </c>
      <c r="E468" s="39" t="s">
        <v>10</v>
      </c>
      <c r="F468" s="139">
        <v>12.7</v>
      </c>
      <c r="G468" s="40" t="s">
        <v>257</v>
      </c>
      <c r="H468" s="43" cm="1">
        <f t="array" ref="H468">SUMPRODUCT(Tracking[Amount],--(Tracking[Date]&lt;=Tracking[[#This Row],[Date]]),(Tracking[Type]&lt;&gt;"Income")*(-1)+(Tracking[Type]="Income"))</f>
        <v>459.70000000000061</v>
      </c>
      <c r="I468" s="51">
        <f>IF(AND(Tracking[[#This Row],[Type]]="Income",shift_late_income_status="Active",DAY(Tracking[[#This Row],[Date]])&gt;=shift_late_income_starting_day),DATE(YEAR(Tracking[[#This Row],[Date]]),MONTH(Tracking[[#This Row],[Date]])+1,1),Tracking[[#This Row],[Date]])</f>
        <v>46027</v>
      </c>
    </row>
    <row r="469" spans="3:9" x14ac:dyDescent="0.3">
      <c r="C469" s="41">
        <v>46027</v>
      </c>
      <c r="D469" s="39" t="s">
        <v>9</v>
      </c>
      <c r="E469" s="39" t="s">
        <v>10</v>
      </c>
      <c r="F469" s="139">
        <v>12.87</v>
      </c>
      <c r="G469" s="40" t="s">
        <v>173</v>
      </c>
      <c r="H469" s="43" cm="1">
        <f t="array" ref="H469">SUMPRODUCT(Tracking[Amount],--(Tracking[Date]&lt;=Tracking[[#This Row],[Date]]),(Tracking[Type]&lt;&gt;"Income")*(-1)+(Tracking[Type]="Income"))</f>
        <v>459.70000000000061</v>
      </c>
      <c r="I469" s="51">
        <f>IF(AND(Tracking[[#This Row],[Type]]="Income",shift_late_income_status="Active",DAY(Tracking[[#This Row],[Date]])&gt;=shift_late_income_starting_day),DATE(YEAR(Tracking[[#This Row],[Date]]),MONTH(Tracking[[#This Row],[Date]])+1,1),Tracking[[#This Row],[Date]])</f>
        <v>46027</v>
      </c>
    </row>
    <row r="470" spans="3:9" x14ac:dyDescent="0.3">
      <c r="C470" s="41">
        <v>46027</v>
      </c>
      <c r="D470" s="39" t="s">
        <v>9</v>
      </c>
      <c r="E470" s="39" t="s">
        <v>10</v>
      </c>
      <c r="F470" s="139">
        <v>23.09</v>
      </c>
      <c r="G470" s="40" t="s">
        <v>300</v>
      </c>
      <c r="H470" s="43" cm="1">
        <f t="array" ref="H470">SUMPRODUCT(Tracking[Amount],--(Tracking[Date]&lt;=Tracking[[#This Row],[Date]]),(Tracking[Type]&lt;&gt;"Income")*(-1)+(Tracking[Type]="Income"))</f>
        <v>459.70000000000061</v>
      </c>
      <c r="I470" s="51">
        <f>IF(AND(Tracking[[#This Row],[Type]]="Income",shift_late_income_status="Active",DAY(Tracking[[#This Row],[Date]])&gt;=shift_late_income_starting_day),DATE(YEAR(Tracking[[#This Row],[Date]]),MONTH(Tracking[[#This Row],[Date]])+1,1),Tracking[[#This Row],[Date]])</f>
        <v>46027</v>
      </c>
    </row>
    <row r="471" spans="3:9" x14ac:dyDescent="0.3">
      <c r="C471" s="41">
        <v>46027</v>
      </c>
      <c r="D471" s="39" t="s">
        <v>9</v>
      </c>
      <c r="E471" s="39" t="s">
        <v>111</v>
      </c>
      <c r="F471" s="139">
        <v>32.840000000000003</v>
      </c>
      <c r="G471" s="40" t="s">
        <v>301</v>
      </c>
      <c r="H471" s="43" cm="1">
        <f t="array" ref="H471">SUMPRODUCT(Tracking[Amount],--(Tracking[Date]&lt;=Tracking[[#This Row],[Date]]),(Tracking[Type]&lt;&gt;"Income")*(-1)+(Tracking[Type]="Income"))</f>
        <v>459.70000000000061</v>
      </c>
      <c r="I471" s="51">
        <f>IF(AND(Tracking[[#This Row],[Type]]="Income",shift_late_income_status="Active",DAY(Tracking[[#This Row],[Date]])&gt;=shift_late_income_starting_day),DATE(YEAR(Tracking[[#This Row],[Date]]),MONTH(Tracking[[#This Row],[Date]])+1,1),Tracking[[#This Row],[Date]])</f>
        <v>46027</v>
      </c>
    </row>
    <row r="472" spans="3:9" x14ac:dyDescent="0.3">
      <c r="C472" s="41">
        <v>46027</v>
      </c>
      <c r="D472" s="39" t="s">
        <v>9</v>
      </c>
      <c r="E472" s="39" t="s">
        <v>111</v>
      </c>
      <c r="F472" s="139">
        <v>41.91</v>
      </c>
      <c r="G472" s="40" t="s">
        <v>302</v>
      </c>
      <c r="H472" s="43" cm="1">
        <f t="array" ref="H472">SUMPRODUCT(Tracking[Amount],--(Tracking[Date]&lt;=Tracking[[#This Row],[Date]]),(Tracking[Type]&lt;&gt;"Income")*(-1)+(Tracking[Type]="Income"))</f>
        <v>459.70000000000061</v>
      </c>
      <c r="I472" s="51">
        <f>IF(AND(Tracking[[#This Row],[Type]]="Income",shift_late_income_status="Active",DAY(Tracking[[#This Row],[Date]])&gt;=shift_late_income_starting_day),DATE(YEAR(Tracking[[#This Row],[Date]]),MONTH(Tracking[[#This Row],[Date]])+1,1),Tracking[[#This Row],[Date]])</f>
        <v>46027</v>
      </c>
    </row>
    <row r="473" spans="3:9" x14ac:dyDescent="0.3">
      <c r="C473" s="41">
        <v>46027</v>
      </c>
      <c r="D473" s="39" t="s">
        <v>9</v>
      </c>
      <c r="E473" s="39" t="s">
        <v>108</v>
      </c>
      <c r="F473" s="139">
        <v>162.36000000000001</v>
      </c>
      <c r="G473" s="40" t="s">
        <v>296</v>
      </c>
      <c r="H473" s="43" cm="1">
        <f t="array" ref="H473">SUMPRODUCT(Tracking[Amount],--(Tracking[Date]&lt;=Tracking[[#This Row],[Date]]),(Tracking[Type]&lt;&gt;"Income")*(-1)+(Tracking[Type]="Income"))</f>
        <v>459.70000000000061</v>
      </c>
      <c r="I473" s="51">
        <f>IF(AND(Tracking[[#This Row],[Type]]="Income",shift_late_income_status="Active",DAY(Tracking[[#This Row],[Date]])&gt;=shift_late_income_starting_day),DATE(YEAR(Tracking[[#This Row],[Date]]),MONTH(Tracking[[#This Row],[Date]])+1,1),Tracking[[#This Row],[Date]])</f>
        <v>46027</v>
      </c>
    </row>
    <row r="474" spans="3:9" x14ac:dyDescent="0.3">
      <c r="C474" s="41">
        <v>46029</v>
      </c>
      <c r="D474" s="39" t="s">
        <v>9</v>
      </c>
      <c r="E474" s="39" t="s">
        <v>10</v>
      </c>
      <c r="F474" s="139">
        <v>10.06</v>
      </c>
      <c r="G474" s="40" t="s">
        <v>271</v>
      </c>
      <c r="H474" s="43" cm="1">
        <f t="array" ref="H474">SUMPRODUCT(Tracking[Amount],--(Tracking[Date]&lt;=Tracking[[#This Row],[Date]]),(Tracking[Type]&lt;&gt;"Income")*(-1)+(Tracking[Type]="Income"))</f>
        <v>449.64000000000061</v>
      </c>
      <c r="I474" s="51">
        <f>IF(AND(Tracking[[#This Row],[Type]]="Income",shift_late_income_status="Active",DAY(Tracking[[#This Row],[Date]])&gt;=shift_late_income_starting_day),DATE(YEAR(Tracking[[#This Row],[Date]]),MONTH(Tracking[[#This Row],[Date]])+1,1),Tracking[[#This Row],[Date]])</f>
        <v>46029</v>
      </c>
    </row>
    <row r="475" spans="3:9" x14ac:dyDescent="0.3">
      <c r="C475" s="41">
        <v>46031</v>
      </c>
      <c r="D475" s="39" t="s">
        <v>5</v>
      </c>
      <c r="E475" s="39" t="s">
        <v>103</v>
      </c>
      <c r="F475" s="139">
        <v>910.61</v>
      </c>
      <c r="G475" s="40"/>
      <c r="H475" s="43" cm="1">
        <f t="array" ref="H475">SUMPRODUCT(Tracking[Amount],--(Tracking[Date]&lt;=Tracking[[#This Row],[Date]]),(Tracking[Type]&lt;&gt;"Income")*(-1)+(Tracking[Type]="Income"))</f>
        <v>1341.6600000000008</v>
      </c>
      <c r="I475" s="51">
        <f>IF(AND(Tracking[[#This Row],[Type]]="Income",shift_late_income_status="Active",DAY(Tracking[[#This Row],[Date]])&gt;=shift_late_income_starting_day),DATE(YEAR(Tracking[[#This Row],[Date]]),MONTH(Tracking[[#This Row],[Date]])+1,1),Tracking[[#This Row],[Date]])</f>
        <v>46031</v>
      </c>
    </row>
    <row r="476" spans="3:9" x14ac:dyDescent="0.3">
      <c r="C476" s="41">
        <v>46031</v>
      </c>
      <c r="D476" s="39" t="s">
        <v>9</v>
      </c>
      <c r="E476" s="39" t="s">
        <v>111</v>
      </c>
      <c r="F476" s="139">
        <v>8.5299999999999994</v>
      </c>
      <c r="G476" s="40" t="s">
        <v>278</v>
      </c>
      <c r="H476" s="43" cm="1">
        <f t="array" ref="H476">SUMPRODUCT(Tracking[Amount],--(Tracking[Date]&lt;=Tracking[[#This Row],[Date]]),(Tracking[Type]&lt;&gt;"Income")*(-1)+(Tracking[Type]="Income"))</f>
        <v>1341.6600000000008</v>
      </c>
      <c r="I476" s="51">
        <f>IF(AND(Tracking[[#This Row],[Type]]="Income",shift_late_income_status="Active",DAY(Tracking[[#This Row],[Date]])&gt;=shift_late_income_starting_day),DATE(YEAR(Tracking[[#This Row],[Date]]),MONTH(Tracking[[#This Row],[Date]])+1,1),Tracking[[#This Row],[Date]])</f>
        <v>46031</v>
      </c>
    </row>
    <row r="477" spans="3:9" x14ac:dyDescent="0.3">
      <c r="C477" s="41">
        <v>46031</v>
      </c>
      <c r="D477" s="39" t="s">
        <v>9</v>
      </c>
      <c r="E477" s="39" t="s">
        <v>10</v>
      </c>
      <c r="F477" s="139">
        <v>10.06</v>
      </c>
      <c r="G477" s="40" t="s">
        <v>271</v>
      </c>
      <c r="H477" s="43" cm="1">
        <f t="array" ref="H477">SUMPRODUCT(Tracking[Amount],--(Tracking[Date]&lt;=Tracking[[#This Row],[Date]]),(Tracking[Type]&lt;&gt;"Income")*(-1)+(Tracking[Type]="Income"))</f>
        <v>1341.6600000000008</v>
      </c>
      <c r="I477" s="51">
        <f>IF(AND(Tracking[[#This Row],[Type]]="Income",shift_late_income_status="Active",DAY(Tracking[[#This Row],[Date]])&gt;=shift_late_income_starting_day),DATE(YEAR(Tracking[[#This Row],[Date]]),MONTH(Tracking[[#This Row],[Date]])+1,1),Tracking[[#This Row],[Date]])</f>
        <v>46031</v>
      </c>
    </row>
    <row r="478" spans="3:9" x14ac:dyDescent="0.3">
      <c r="C478" s="41">
        <v>46034</v>
      </c>
      <c r="D478" s="39" t="s">
        <v>9</v>
      </c>
      <c r="E478" s="39" t="s">
        <v>10</v>
      </c>
      <c r="F478" s="139">
        <v>10.06</v>
      </c>
      <c r="G478" s="40" t="s">
        <v>271</v>
      </c>
      <c r="H478" s="43" cm="1">
        <f t="array" ref="H478">SUMPRODUCT(Tracking[Amount],--(Tracking[Date]&lt;=Tracking[[#This Row],[Date]]),(Tracking[Type]&lt;&gt;"Income")*(-1)+(Tracking[Type]="Income"))</f>
        <v>1259.4600000000007</v>
      </c>
      <c r="I478" s="51">
        <f>IF(AND(Tracking[[#This Row],[Type]]="Income",shift_late_income_status="Active",DAY(Tracking[[#This Row],[Date]])&gt;=shift_late_income_starting_day),DATE(YEAR(Tracking[[#This Row],[Date]]),MONTH(Tracking[[#This Row],[Date]])+1,1),Tracking[[#This Row],[Date]])</f>
        <v>46034</v>
      </c>
    </row>
    <row r="479" spans="3:9" x14ac:dyDescent="0.3">
      <c r="C479" s="41">
        <v>46034</v>
      </c>
      <c r="D479" s="39" t="s">
        <v>9</v>
      </c>
      <c r="E479" s="39" t="s">
        <v>10</v>
      </c>
      <c r="F479" s="139">
        <v>10.06</v>
      </c>
      <c r="G479" s="40" t="s">
        <v>271</v>
      </c>
      <c r="H479" s="43" cm="1">
        <f t="array" ref="H479">SUMPRODUCT(Tracking[Amount],--(Tracking[Date]&lt;=Tracking[[#This Row],[Date]]),(Tracking[Type]&lt;&gt;"Income")*(-1)+(Tracking[Type]="Income"))</f>
        <v>1259.4600000000007</v>
      </c>
      <c r="I479" s="51">
        <f>IF(AND(Tracking[[#This Row],[Type]]="Income",shift_late_income_status="Active",DAY(Tracking[[#This Row],[Date]])&gt;=shift_late_income_starting_day),DATE(YEAR(Tracking[[#This Row],[Date]]),MONTH(Tracking[[#This Row],[Date]])+1,1),Tracking[[#This Row],[Date]])</f>
        <v>46034</v>
      </c>
    </row>
    <row r="480" spans="3:9" x14ac:dyDescent="0.3">
      <c r="C480" s="41">
        <v>46034</v>
      </c>
      <c r="D480" s="39" t="s">
        <v>9</v>
      </c>
      <c r="E480" s="39" t="s">
        <v>10</v>
      </c>
      <c r="F480" s="139">
        <v>10.16</v>
      </c>
      <c r="G480" s="40" t="s">
        <v>145</v>
      </c>
      <c r="H480" s="43" cm="1">
        <f t="array" ref="H480">SUMPRODUCT(Tracking[Amount],--(Tracking[Date]&lt;=Tracking[[#This Row],[Date]]),(Tracking[Type]&lt;&gt;"Income")*(-1)+(Tracking[Type]="Income"))</f>
        <v>1259.4600000000007</v>
      </c>
      <c r="I480" s="51">
        <f>IF(AND(Tracking[[#This Row],[Type]]="Income",shift_late_income_status="Active",DAY(Tracking[[#This Row],[Date]])&gt;=shift_late_income_starting_day),DATE(YEAR(Tracking[[#This Row],[Date]]),MONTH(Tracking[[#This Row],[Date]])+1,1),Tracking[[#This Row],[Date]])</f>
        <v>46034</v>
      </c>
    </row>
    <row r="481" spans="3:9" x14ac:dyDescent="0.3">
      <c r="C481" s="41">
        <v>46034</v>
      </c>
      <c r="D481" s="39" t="s">
        <v>9</v>
      </c>
      <c r="E481" s="39" t="s">
        <v>10</v>
      </c>
      <c r="F481" s="139">
        <v>15.13</v>
      </c>
      <c r="G481" s="40" t="s">
        <v>303</v>
      </c>
      <c r="H481" s="43" cm="1">
        <f t="array" ref="H481">SUMPRODUCT(Tracking[Amount],--(Tracking[Date]&lt;=Tracking[[#This Row],[Date]]),(Tracking[Type]&lt;&gt;"Income")*(-1)+(Tracking[Type]="Income"))</f>
        <v>1259.4600000000007</v>
      </c>
      <c r="I481" s="51">
        <f>IF(AND(Tracking[[#This Row],[Type]]="Income",shift_late_income_status="Active",DAY(Tracking[[#This Row],[Date]])&gt;=shift_late_income_starting_day),DATE(YEAR(Tracking[[#This Row],[Date]]),MONTH(Tracking[[#This Row],[Date]])+1,1),Tracking[[#This Row],[Date]])</f>
        <v>46034</v>
      </c>
    </row>
    <row r="482" spans="3:9" x14ac:dyDescent="0.3">
      <c r="C482" s="41">
        <v>46034</v>
      </c>
      <c r="D482" s="39" t="s">
        <v>9</v>
      </c>
      <c r="E482" s="39" t="s">
        <v>12</v>
      </c>
      <c r="F482" s="139">
        <v>36.79</v>
      </c>
      <c r="G482" s="40" t="s">
        <v>298</v>
      </c>
      <c r="H482" s="43" cm="1">
        <f t="array" ref="H482">SUMPRODUCT(Tracking[Amount],--(Tracking[Date]&lt;=Tracking[[#This Row],[Date]]),(Tracking[Type]&lt;&gt;"Income")*(-1)+(Tracking[Type]="Income"))</f>
        <v>1259.4600000000007</v>
      </c>
      <c r="I482" s="51">
        <f>IF(AND(Tracking[[#This Row],[Type]]="Income",shift_late_income_status="Active",DAY(Tracking[[#This Row],[Date]])&gt;=shift_late_income_starting_day),DATE(YEAR(Tracking[[#This Row],[Date]]),MONTH(Tracking[[#This Row],[Date]])+1,1),Tracking[[#This Row],[Date]])</f>
        <v>46034</v>
      </c>
    </row>
    <row r="483" spans="3:9" x14ac:dyDescent="0.3">
      <c r="C483" s="41">
        <v>46035</v>
      </c>
      <c r="D483" s="39" t="s">
        <v>9</v>
      </c>
      <c r="E483" s="39" t="s">
        <v>10</v>
      </c>
      <c r="F483" s="139">
        <v>27.45</v>
      </c>
      <c r="G483" s="40" t="s">
        <v>248</v>
      </c>
      <c r="H483" s="43" cm="1">
        <f t="array" ref="H483">SUMPRODUCT(Tracking[Amount],--(Tracking[Date]&lt;=Tracking[[#This Row],[Date]]),(Tracking[Type]&lt;&gt;"Income")*(-1)+(Tracking[Type]="Income"))</f>
        <v>1232.0100000000007</v>
      </c>
      <c r="I483" s="51">
        <f>IF(AND(Tracking[[#This Row],[Type]]="Income",shift_late_income_status="Active",DAY(Tracking[[#This Row],[Date]])&gt;=shift_late_income_starting_day),DATE(YEAR(Tracking[[#This Row],[Date]]),MONTH(Tracking[[#This Row],[Date]])+1,1),Tracking[[#This Row],[Date]])</f>
        <v>46035</v>
      </c>
    </row>
    <row r="484" spans="3:9" x14ac:dyDescent="0.3">
      <c r="C484" s="41">
        <v>46036</v>
      </c>
      <c r="D484" s="39" t="s">
        <v>9</v>
      </c>
      <c r="E484" s="39" t="s">
        <v>108</v>
      </c>
      <c r="F484" s="139">
        <v>7.36</v>
      </c>
      <c r="G484" s="40" t="s">
        <v>183</v>
      </c>
      <c r="H484" s="43" cm="1">
        <f t="array" ref="H484">SUMPRODUCT(Tracking[Amount],--(Tracking[Date]&lt;=Tracking[[#This Row],[Date]]),(Tracking[Type]&lt;&gt;"Income")*(-1)+(Tracking[Type]="Income"))</f>
        <v>1178.5000000000007</v>
      </c>
      <c r="I484" s="51">
        <f>IF(AND(Tracking[[#This Row],[Type]]="Income",shift_late_income_status="Active",DAY(Tracking[[#This Row],[Date]])&gt;=shift_late_income_starting_day),DATE(YEAR(Tracking[[#This Row],[Date]]),MONTH(Tracking[[#This Row],[Date]])+1,1),Tracking[[#This Row],[Date]])</f>
        <v>46036</v>
      </c>
    </row>
    <row r="485" spans="3:9" x14ac:dyDescent="0.3">
      <c r="C485" s="41">
        <v>46036</v>
      </c>
      <c r="D485" s="39" t="s">
        <v>9</v>
      </c>
      <c r="E485" s="39" t="s">
        <v>10</v>
      </c>
      <c r="F485" s="139">
        <v>10.06</v>
      </c>
      <c r="G485" s="40" t="s">
        <v>271</v>
      </c>
      <c r="H485" s="43" cm="1">
        <f t="array" ref="H485">SUMPRODUCT(Tracking[Amount],--(Tracking[Date]&lt;=Tracking[[#This Row],[Date]]),(Tracking[Type]&lt;&gt;"Income")*(-1)+(Tracking[Type]="Income"))</f>
        <v>1178.5000000000007</v>
      </c>
      <c r="I485" s="51">
        <f>IF(AND(Tracking[[#This Row],[Type]]="Income",shift_late_income_status="Active",DAY(Tracking[[#This Row],[Date]])&gt;=shift_late_income_starting_day),DATE(YEAR(Tracking[[#This Row],[Date]]),MONTH(Tracking[[#This Row],[Date]])+1,1),Tracking[[#This Row],[Date]])</f>
        <v>46036</v>
      </c>
    </row>
    <row r="486" spans="3:9" x14ac:dyDescent="0.3">
      <c r="C486" s="41">
        <v>46036</v>
      </c>
      <c r="D486" s="39" t="s">
        <v>9</v>
      </c>
      <c r="E486" s="39" t="s">
        <v>108</v>
      </c>
      <c r="F486" s="139">
        <v>12.44</v>
      </c>
      <c r="G486" s="40" t="s">
        <v>183</v>
      </c>
      <c r="H486" s="43" cm="1">
        <f t="array" ref="H486">SUMPRODUCT(Tracking[Amount],--(Tracking[Date]&lt;=Tracking[[#This Row],[Date]]),(Tracking[Type]&lt;&gt;"Income")*(-1)+(Tracking[Type]="Income"))</f>
        <v>1178.5000000000007</v>
      </c>
      <c r="I486" s="51">
        <f>IF(AND(Tracking[[#This Row],[Type]]="Income",shift_late_income_status="Active",DAY(Tracking[[#This Row],[Date]])&gt;=shift_late_income_starting_day),DATE(YEAR(Tracking[[#This Row],[Date]]),MONTH(Tracking[[#This Row],[Date]])+1,1),Tracking[[#This Row],[Date]])</f>
        <v>46036</v>
      </c>
    </row>
    <row r="487" spans="3:9" x14ac:dyDescent="0.3">
      <c r="C487" s="41">
        <v>46036</v>
      </c>
      <c r="D487" s="39" t="s">
        <v>9</v>
      </c>
      <c r="E487" s="39" t="s">
        <v>10</v>
      </c>
      <c r="F487" s="139">
        <v>23.65</v>
      </c>
      <c r="G487" s="40" t="s">
        <v>304</v>
      </c>
      <c r="H487" s="43" cm="1">
        <f t="array" ref="H487">SUMPRODUCT(Tracking[Amount],--(Tracking[Date]&lt;=Tracking[[#This Row],[Date]]),(Tracking[Type]&lt;&gt;"Income")*(-1)+(Tracking[Type]="Income"))</f>
        <v>1178.5000000000007</v>
      </c>
      <c r="I487" s="51">
        <f>IF(AND(Tracking[[#This Row],[Type]]="Income",shift_late_income_status="Active",DAY(Tracking[[#This Row],[Date]])&gt;=shift_late_income_starting_day),DATE(YEAR(Tracking[[#This Row],[Date]]),MONTH(Tracking[[#This Row],[Date]])+1,1),Tracking[[#This Row],[Date]])</f>
        <v>46036</v>
      </c>
    </row>
    <row r="488" spans="3:9" x14ac:dyDescent="0.3">
      <c r="C488" s="41">
        <v>46037</v>
      </c>
      <c r="D488" s="39" t="s">
        <v>9</v>
      </c>
      <c r="E488" s="39" t="s">
        <v>10</v>
      </c>
      <c r="F488" s="139">
        <v>10.06</v>
      </c>
      <c r="G488" s="40" t="s">
        <v>271</v>
      </c>
      <c r="H488" s="43" cm="1">
        <f t="array" ref="H488">SUMPRODUCT(Tracking[Amount],--(Tracking[Date]&lt;=Tracking[[#This Row],[Date]]),(Tracking[Type]&lt;&gt;"Income")*(-1)+(Tracking[Type]="Income"))</f>
        <v>1137.2000000000007</v>
      </c>
      <c r="I488" s="51">
        <f>IF(AND(Tracking[[#This Row],[Type]]="Income",shift_late_income_status="Active",DAY(Tracking[[#This Row],[Date]])&gt;=shift_late_income_starting_day),DATE(YEAR(Tracking[[#This Row],[Date]]),MONTH(Tracking[[#This Row],[Date]])+1,1),Tracking[[#This Row],[Date]])</f>
        <v>46037</v>
      </c>
    </row>
    <row r="489" spans="3:9" x14ac:dyDescent="0.3">
      <c r="C489" s="41">
        <v>46037</v>
      </c>
      <c r="D489" s="39" t="s">
        <v>9</v>
      </c>
      <c r="E489" s="39" t="s">
        <v>10</v>
      </c>
      <c r="F489" s="139">
        <v>31.24</v>
      </c>
      <c r="G489" s="40" t="s">
        <v>165</v>
      </c>
      <c r="H489" s="43" cm="1">
        <f t="array" ref="H489">SUMPRODUCT(Tracking[Amount],--(Tracking[Date]&lt;=Tracking[[#This Row],[Date]]),(Tracking[Type]&lt;&gt;"Income")*(-1)+(Tracking[Type]="Income"))</f>
        <v>1137.2000000000007</v>
      </c>
      <c r="I489" s="51">
        <f>IF(AND(Tracking[[#This Row],[Type]]="Income",shift_late_income_status="Active",DAY(Tracking[[#This Row],[Date]])&gt;=shift_late_income_starting_day),DATE(YEAR(Tracking[[#This Row],[Date]]),MONTH(Tracking[[#This Row],[Date]])+1,1),Tracking[[#This Row],[Date]])</f>
        <v>46037</v>
      </c>
    </row>
    <row r="490" spans="3:9" x14ac:dyDescent="0.3">
      <c r="C490" s="41">
        <v>46038</v>
      </c>
      <c r="D490" s="39" t="s">
        <v>9</v>
      </c>
      <c r="E490" s="39" t="s">
        <v>10</v>
      </c>
      <c r="F490" s="139">
        <v>16.43</v>
      </c>
      <c r="G490" s="40" t="s">
        <v>145</v>
      </c>
      <c r="H490" s="43" cm="1">
        <f t="array" ref="H490">SUMPRODUCT(Tracking[Amount],--(Tracking[Date]&lt;=Tracking[[#This Row],[Date]]),(Tracking[Type]&lt;&gt;"Income")*(-1)+(Tracking[Type]="Income"))</f>
        <v>1071.0300000000007</v>
      </c>
      <c r="I490" s="51">
        <f>IF(AND(Tracking[[#This Row],[Type]]="Income",shift_late_income_status="Active",DAY(Tracking[[#This Row],[Date]])&gt;=shift_late_income_starting_day),DATE(YEAR(Tracking[[#This Row],[Date]]),MONTH(Tracking[[#This Row],[Date]])+1,1),Tracking[[#This Row],[Date]])</f>
        <v>46038</v>
      </c>
    </row>
    <row r="491" spans="3:9" x14ac:dyDescent="0.3">
      <c r="C491" s="41">
        <v>46038</v>
      </c>
      <c r="D491" s="39" t="s">
        <v>9</v>
      </c>
      <c r="E491" s="39" t="s">
        <v>10</v>
      </c>
      <c r="F491" s="139">
        <v>18.43</v>
      </c>
      <c r="G491" s="40" t="s">
        <v>271</v>
      </c>
      <c r="H491" s="43" cm="1">
        <f t="array" ref="H491">SUMPRODUCT(Tracking[Amount],--(Tracking[Date]&lt;=Tracking[[#This Row],[Date]]),(Tracking[Type]&lt;&gt;"Income")*(-1)+(Tracking[Type]="Income"))</f>
        <v>1071.0300000000007</v>
      </c>
      <c r="I491" s="51">
        <f>IF(AND(Tracking[[#This Row],[Type]]="Income",shift_late_income_status="Active",DAY(Tracking[[#This Row],[Date]])&gt;=shift_late_income_starting_day),DATE(YEAR(Tracking[[#This Row],[Date]]),MONTH(Tracking[[#This Row],[Date]])+1,1),Tracking[[#This Row],[Date]])</f>
        <v>46038</v>
      </c>
    </row>
    <row r="492" spans="3:9" x14ac:dyDescent="0.3">
      <c r="C492" s="41">
        <v>46038</v>
      </c>
      <c r="D492" s="39" t="s">
        <v>9</v>
      </c>
      <c r="E492" s="39" t="s">
        <v>10</v>
      </c>
      <c r="F492" s="139">
        <v>31.31</v>
      </c>
      <c r="G492" s="40" t="s">
        <v>184</v>
      </c>
      <c r="H492" s="43" cm="1">
        <f t="array" ref="H492">SUMPRODUCT(Tracking[Amount],--(Tracking[Date]&lt;=Tracking[[#This Row],[Date]]),(Tracking[Type]&lt;&gt;"Income")*(-1)+(Tracking[Type]="Income"))</f>
        <v>1071.0300000000007</v>
      </c>
      <c r="I492" s="51">
        <f>IF(AND(Tracking[[#This Row],[Type]]="Income",shift_late_income_status="Active",DAY(Tracking[[#This Row],[Date]])&gt;=shift_late_income_starting_day),DATE(YEAR(Tracking[[#This Row],[Date]]),MONTH(Tracking[[#This Row],[Date]])+1,1),Tracking[[#This Row],[Date]])</f>
        <v>46038</v>
      </c>
    </row>
    <row r="493" spans="3:9" x14ac:dyDescent="0.3">
      <c r="C493" s="41">
        <v>46042</v>
      </c>
      <c r="D493" s="39" t="s">
        <v>9</v>
      </c>
      <c r="E493" s="39" t="s">
        <v>10</v>
      </c>
      <c r="F493" s="139">
        <v>4.0599999999999996</v>
      </c>
      <c r="G493" s="40" t="s">
        <v>177</v>
      </c>
      <c r="H493" s="43" cm="1">
        <f t="array" ref="H493">SUMPRODUCT(Tracking[Amount],--(Tracking[Date]&lt;=Tracking[[#This Row],[Date]]),(Tracking[Type]&lt;&gt;"Income")*(-1)+(Tracking[Type]="Income"))</f>
        <v>860.99000000000069</v>
      </c>
      <c r="I493" s="51">
        <f>IF(AND(Tracking[[#This Row],[Type]]="Income",shift_late_income_status="Active",DAY(Tracking[[#This Row],[Date]])&gt;=shift_late_income_starting_day),DATE(YEAR(Tracking[[#This Row],[Date]]),MONTH(Tracking[[#This Row],[Date]])+1,1),Tracking[[#This Row],[Date]])</f>
        <v>46042</v>
      </c>
    </row>
    <row r="494" spans="3:9" x14ac:dyDescent="0.3">
      <c r="C494" s="41">
        <v>46042</v>
      </c>
      <c r="D494" s="39" t="s">
        <v>9</v>
      </c>
      <c r="E494" s="39" t="s">
        <v>10</v>
      </c>
      <c r="F494" s="139">
        <v>6.66</v>
      </c>
      <c r="G494" s="40" t="s">
        <v>305</v>
      </c>
      <c r="H494" s="43" cm="1">
        <f t="array" ref="H494">SUMPRODUCT(Tracking[Amount],--(Tracking[Date]&lt;=Tracking[[#This Row],[Date]]),(Tracking[Type]&lt;&gt;"Income")*(-1)+(Tracking[Type]="Income"))</f>
        <v>860.99000000000069</v>
      </c>
      <c r="I494" s="51">
        <f>IF(AND(Tracking[[#This Row],[Type]]="Income",shift_late_income_status="Active",DAY(Tracking[[#This Row],[Date]])&gt;=shift_late_income_starting_day),DATE(YEAR(Tracking[[#This Row],[Date]]),MONTH(Tracking[[#This Row],[Date]])+1,1),Tracking[[#This Row],[Date]])</f>
        <v>46042</v>
      </c>
    </row>
    <row r="495" spans="3:9" x14ac:dyDescent="0.3">
      <c r="C495" s="41">
        <v>46042</v>
      </c>
      <c r="D495" s="39" t="s">
        <v>9</v>
      </c>
      <c r="E495" s="39" t="s">
        <v>111</v>
      </c>
      <c r="F495" s="139">
        <v>7.88</v>
      </c>
      <c r="G495" s="40" t="s">
        <v>227</v>
      </c>
      <c r="H495" s="43" cm="1">
        <f t="array" ref="H495">SUMPRODUCT(Tracking[Amount],--(Tracking[Date]&lt;=Tracking[[#This Row],[Date]]),(Tracking[Type]&lt;&gt;"Income")*(-1)+(Tracking[Type]="Income"))</f>
        <v>860.99000000000069</v>
      </c>
      <c r="I495" s="51">
        <f>IF(AND(Tracking[[#This Row],[Type]]="Income",shift_late_income_status="Active",DAY(Tracking[[#This Row],[Date]])&gt;=shift_late_income_starting_day),DATE(YEAR(Tracking[[#This Row],[Date]]),MONTH(Tracking[[#This Row],[Date]])+1,1),Tracking[[#This Row],[Date]])</f>
        <v>46042</v>
      </c>
    </row>
    <row r="496" spans="3:9" x14ac:dyDescent="0.3">
      <c r="C496" s="41">
        <v>46042</v>
      </c>
      <c r="D496" s="39" t="s">
        <v>9</v>
      </c>
      <c r="E496" s="39" t="s">
        <v>108</v>
      </c>
      <c r="F496" s="139">
        <v>12.34</v>
      </c>
      <c r="G496" s="40" t="s">
        <v>257</v>
      </c>
      <c r="H496" s="43" cm="1">
        <f t="array" ref="H496">SUMPRODUCT(Tracking[Amount],--(Tracking[Date]&lt;=Tracking[[#This Row],[Date]]),(Tracking[Type]&lt;&gt;"Income")*(-1)+(Tracking[Type]="Income"))</f>
        <v>860.99000000000069</v>
      </c>
      <c r="I496" s="51">
        <f>IF(AND(Tracking[[#This Row],[Type]]="Income",shift_late_income_status="Active",DAY(Tracking[[#This Row],[Date]])&gt;=shift_late_income_starting_day),DATE(YEAR(Tracking[[#This Row],[Date]]),MONTH(Tracking[[#This Row],[Date]])+1,1),Tracking[[#This Row],[Date]])</f>
        <v>46042</v>
      </c>
    </row>
    <row r="497" spans="3:9" x14ac:dyDescent="0.3">
      <c r="C497" s="65">
        <v>46042</v>
      </c>
      <c r="D497" s="66" t="s">
        <v>9</v>
      </c>
      <c r="E497" s="66" t="s">
        <v>108</v>
      </c>
      <c r="F497" s="140">
        <v>12.34</v>
      </c>
      <c r="G497" s="40" t="s">
        <v>257</v>
      </c>
      <c r="H497" s="43" cm="1">
        <f t="array" ref="H497">SUMPRODUCT(Tracking[Amount],--(Tracking[Date]&lt;=Tracking[[#This Row],[Date]]),(Tracking[Type]&lt;&gt;"Income")*(-1)+(Tracking[Type]="Income"))</f>
        <v>860.99000000000069</v>
      </c>
      <c r="I497" s="51">
        <f>IF(AND(Tracking[[#This Row],[Type]]="Income",shift_late_income_status="Active",DAY(Tracking[[#This Row],[Date]])&gt;=shift_late_income_starting_day),DATE(YEAR(Tracking[[#This Row],[Date]]),MONTH(Tracking[[#This Row],[Date]])+1,1),Tracking[[#This Row],[Date]])</f>
        <v>46042</v>
      </c>
    </row>
    <row r="498" spans="3:9" x14ac:dyDescent="0.3">
      <c r="C498" s="41">
        <v>46042</v>
      </c>
      <c r="D498" s="39" t="s">
        <v>9</v>
      </c>
      <c r="E498" s="39" t="s">
        <v>10</v>
      </c>
      <c r="F498" s="139">
        <v>18.43</v>
      </c>
      <c r="G498" s="40" t="s">
        <v>271</v>
      </c>
      <c r="H498" s="43" cm="1">
        <f t="array" ref="H498">SUMPRODUCT(Tracking[Amount],--(Tracking[Date]&lt;=Tracking[[#This Row],[Date]]),(Tracking[Type]&lt;&gt;"Income")*(-1)+(Tracking[Type]="Income"))</f>
        <v>860.99000000000069</v>
      </c>
      <c r="I498" s="51">
        <f>IF(AND(Tracking[[#This Row],[Type]]="Income",shift_late_income_status="Active",DAY(Tracking[[#This Row],[Date]])&gt;=shift_late_income_starting_day),DATE(YEAR(Tracking[[#This Row],[Date]]),MONTH(Tracking[[#This Row],[Date]])+1,1),Tracking[[#This Row],[Date]])</f>
        <v>46042</v>
      </c>
    </row>
    <row r="499" spans="3:9" x14ac:dyDescent="0.3">
      <c r="C499" s="41">
        <v>46042</v>
      </c>
      <c r="D499" s="39" t="s">
        <v>9</v>
      </c>
      <c r="E499" s="39" t="s">
        <v>10</v>
      </c>
      <c r="F499" s="139">
        <v>33.4</v>
      </c>
      <c r="G499" s="40" t="s">
        <v>165</v>
      </c>
      <c r="H499" s="43" cm="1">
        <f t="array" ref="H499">SUMPRODUCT(Tracking[Amount],--(Tracking[Date]&lt;=Tracking[[#This Row],[Date]]),(Tracking[Type]&lt;&gt;"Income")*(-1)+(Tracking[Type]="Income"))</f>
        <v>860.99000000000069</v>
      </c>
      <c r="I499" s="51">
        <f>IF(AND(Tracking[[#This Row],[Type]]="Income",shift_late_income_status="Active",DAY(Tracking[[#This Row],[Date]])&gt;=shift_late_income_starting_day),DATE(YEAR(Tracking[[#This Row],[Date]]),MONTH(Tracking[[#This Row],[Date]])+1,1),Tracking[[#This Row],[Date]])</f>
        <v>46042</v>
      </c>
    </row>
    <row r="500" spans="3:9" x14ac:dyDescent="0.3">
      <c r="C500" s="41">
        <v>46042</v>
      </c>
      <c r="D500" s="39" t="s">
        <v>9</v>
      </c>
      <c r="E500" s="39" t="s">
        <v>111</v>
      </c>
      <c r="F500" s="139">
        <v>54.07</v>
      </c>
      <c r="G500" s="40" t="s">
        <v>306</v>
      </c>
      <c r="H500" s="43" cm="1">
        <f t="array" ref="H500">SUMPRODUCT(Tracking[Amount],--(Tracking[Date]&lt;=Tracking[[#This Row],[Date]]),(Tracking[Type]&lt;&gt;"Income")*(-1)+(Tracking[Type]="Income"))</f>
        <v>860.99000000000069</v>
      </c>
      <c r="I500" s="51">
        <f>IF(AND(Tracking[[#This Row],[Type]]="Income",shift_late_income_status="Active",DAY(Tracking[[#This Row],[Date]])&gt;=shift_late_income_starting_day),DATE(YEAR(Tracking[[#This Row],[Date]]),MONTH(Tracking[[#This Row],[Date]])+1,1),Tracking[[#This Row],[Date]])</f>
        <v>46042</v>
      </c>
    </row>
    <row r="501" spans="3:9" x14ac:dyDescent="0.3">
      <c r="C501" s="41">
        <v>46042</v>
      </c>
      <c r="D501" s="39" t="s">
        <v>9</v>
      </c>
      <c r="E501" s="39" t="s">
        <v>108</v>
      </c>
      <c r="F501" s="139">
        <v>60.86</v>
      </c>
      <c r="G501" s="40" t="s">
        <v>250</v>
      </c>
      <c r="H501" s="43" cm="1">
        <f t="array" ref="H501">SUMPRODUCT(Tracking[Amount],--(Tracking[Date]&lt;=Tracking[[#This Row],[Date]]),(Tracking[Type]&lt;&gt;"Income")*(-1)+(Tracking[Type]="Income"))</f>
        <v>860.99000000000069</v>
      </c>
      <c r="I501" s="51">
        <f>IF(AND(Tracking[[#This Row],[Type]]="Income",shift_late_income_status="Active",DAY(Tracking[[#This Row],[Date]])&gt;=shift_late_income_starting_day),DATE(YEAR(Tracking[[#This Row],[Date]]),MONTH(Tracking[[#This Row],[Date]])+1,1),Tracking[[#This Row],[Date]])</f>
        <v>46042</v>
      </c>
    </row>
    <row r="502" spans="3:9" x14ac:dyDescent="0.3">
      <c r="C502" s="41">
        <v>46044</v>
      </c>
      <c r="D502" s="39" t="s">
        <v>9</v>
      </c>
      <c r="E502" s="39" t="s">
        <v>10</v>
      </c>
      <c r="F502" s="139">
        <v>13.61</v>
      </c>
      <c r="G502" s="40" t="s">
        <v>259</v>
      </c>
      <c r="H502" s="43" cm="1">
        <f t="array" ref="H502">SUMPRODUCT(Tracking[Amount],--(Tracking[Date]&lt;=Tracking[[#This Row],[Date]]),(Tracking[Type]&lt;&gt;"Income")*(-1)+(Tracking[Type]="Income"))</f>
        <v>790.55000000000064</v>
      </c>
      <c r="I502" s="51">
        <f>IF(AND(Tracking[[#This Row],[Type]]="Income",shift_late_income_status="Active",DAY(Tracking[[#This Row],[Date]])&gt;=shift_late_income_starting_day),DATE(YEAR(Tracking[[#This Row],[Date]]),MONTH(Tracking[[#This Row],[Date]])+1,1),Tracking[[#This Row],[Date]])</f>
        <v>46044</v>
      </c>
    </row>
    <row r="503" spans="3:9" x14ac:dyDescent="0.3">
      <c r="C503" s="41">
        <v>46044</v>
      </c>
      <c r="D503" s="39" t="s">
        <v>9</v>
      </c>
      <c r="E503" s="39" t="s">
        <v>111</v>
      </c>
      <c r="F503" s="139">
        <v>56.83</v>
      </c>
      <c r="G503" s="40" t="s">
        <v>307</v>
      </c>
      <c r="H503" s="43" cm="1">
        <f t="array" ref="H503">SUMPRODUCT(Tracking[Amount],--(Tracking[Date]&lt;=Tracking[[#This Row],[Date]]),(Tracking[Type]&lt;&gt;"Income")*(-1)+(Tracking[Type]="Income"))</f>
        <v>790.55000000000064</v>
      </c>
      <c r="I503" s="51">
        <f>IF(AND(Tracking[[#This Row],[Type]]="Income",shift_late_income_status="Active",DAY(Tracking[[#This Row],[Date]])&gt;=shift_late_income_starting_day),DATE(YEAR(Tracking[[#This Row],[Date]]),MONTH(Tracking[[#This Row],[Date]])+1,1),Tracking[[#This Row],[Date]])</f>
        <v>46044</v>
      </c>
    </row>
    <row r="504" spans="3:9" x14ac:dyDescent="0.3">
      <c r="C504" s="41">
        <v>46045</v>
      </c>
      <c r="D504" s="39" t="s">
        <v>5</v>
      </c>
      <c r="E504" s="39" t="s">
        <v>103</v>
      </c>
      <c r="F504" s="139">
        <v>1022.03</v>
      </c>
      <c r="G504" s="40"/>
      <c r="H504" s="43" cm="1">
        <f t="array" ref="H504">SUMPRODUCT(Tracking[Amount],--(Tracking[Date]&lt;=Tracking[[#This Row],[Date]]),(Tracking[Type]&lt;&gt;"Income")*(-1)+(Tracking[Type]="Income"))</f>
        <v>1790.4200000000005</v>
      </c>
      <c r="I504" s="51">
        <f>IF(AND(Tracking[[#This Row],[Type]]="Income",shift_late_income_status="Active",DAY(Tracking[[#This Row],[Date]])&gt;=shift_late_income_starting_day),DATE(YEAR(Tracking[[#This Row],[Date]]),MONTH(Tracking[[#This Row],[Date]])+1,1),Tracking[[#This Row],[Date]])</f>
        <v>46045</v>
      </c>
    </row>
    <row r="505" spans="3:9" x14ac:dyDescent="0.3">
      <c r="C505" s="41">
        <v>46045</v>
      </c>
      <c r="D505" s="39" t="s">
        <v>9</v>
      </c>
      <c r="E505" s="39" t="s">
        <v>12</v>
      </c>
      <c r="F505" s="139">
        <v>22.16</v>
      </c>
      <c r="G505" s="40" t="s">
        <v>308</v>
      </c>
      <c r="H505" s="43" cm="1">
        <f t="array" ref="H505">SUMPRODUCT(Tracking[Amount],--(Tracking[Date]&lt;=Tracking[[#This Row],[Date]]),(Tracking[Type]&lt;&gt;"Income")*(-1)+(Tracking[Type]="Income"))</f>
        <v>1790.4200000000005</v>
      </c>
      <c r="I505" s="51">
        <f>IF(AND(Tracking[[#This Row],[Type]]="Income",shift_late_income_status="Active",DAY(Tracking[[#This Row],[Date]])&gt;=shift_late_income_starting_day),DATE(YEAR(Tracking[[#This Row],[Date]]),MONTH(Tracking[[#This Row],[Date]])+1,1),Tracking[[#This Row],[Date]])</f>
        <v>46045</v>
      </c>
    </row>
    <row r="506" spans="3:9" x14ac:dyDescent="0.3">
      <c r="C506" s="41">
        <v>46048</v>
      </c>
      <c r="D506" s="39" t="s">
        <v>9</v>
      </c>
      <c r="E506" s="39" t="s">
        <v>12</v>
      </c>
      <c r="F506" s="139">
        <v>5.4</v>
      </c>
      <c r="G506" s="40" t="s">
        <v>238</v>
      </c>
      <c r="H506" s="43" cm="1">
        <f t="array" ref="H506">SUMPRODUCT(Tracking[Amount],--(Tracking[Date]&lt;=Tracking[[#This Row],[Date]]),(Tracking[Type]&lt;&gt;"Income")*(-1)+(Tracking[Type]="Income"))</f>
        <v>1662.5700000000006</v>
      </c>
      <c r="I506" s="51">
        <f>IF(AND(Tracking[[#This Row],[Type]]="Income",shift_late_income_status="Active",DAY(Tracking[[#This Row],[Date]])&gt;=shift_late_income_starting_day),DATE(YEAR(Tracking[[#This Row],[Date]]),MONTH(Tracking[[#This Row],[Date]])+1,1),Tracking[[#This Row],[Date]])</f>
        <v>46048</v>
      </c>
    </row>
    <row r="507" spans="3:9" x14ac:dyDescent="0.3">
      <c r="C507" s="41">
        <v>46048</v>
      </c>
      <c r="D507" s="39" t="s">
        <v>9</v>
      </c>
      <c r="E507" s="39" t="s">
        <v>10</v>
      </c>
      <c r="F507" s="139">
        <v>10.06</v>
      </c>
      <c r="G507" s="40" t="s">
        <v>271</v>
      </c>
      <c r="H507" s="43" cm="1">
        <f t="array" ref="H507">SUMPRODUCT(Tracking[Amount],--(Tracking[Date]&lt;=Tracking[[#This Row],[Date]]),(Tracking[Type]&lt;&gt;"Income")*(-1)+(Tracking[Type]="Income"))</f>
        <v>1662.5700000000006</v>
      </c>
      <c r="I507" s="51">
        <f>IF(AND(Tracking[[#This Row],[Type]]="Income",shift_late_income_status="Active",DAY(Tracking[[#This Row],[Date]])&gt;=shift_late_income_starting_day),DATE(YEAR(Tracking[[#This Row],[Date]]),MONTH(Tracking[[#This Row],[Date]])+1,1),Tracking[[#This Row],[Date]])</f>
        <v>46048</v>
      </c>
    </row>
    <row r="508" spans="3:9" x14ac:dyDescent="0.3">
      <c r="C508" s="41">
        <v>46048</v>
      </c>
      <c r="D508" s="39" t="s">
        <v>9</v>
      </c>
      <c r="E508" s="39" t="s">
        <v>10</v>
      </c>
      <c r="F508" s="139">
        <v>17.62</v>
      </c>
      <c r="G508" s="40" t="s">
        <v>145</v>
      </c>
      <c r="H508" s="43" cm="1">
        <f t="array" ref="H508">SUMPRODUCT(Tracking[Amount],--(Tracking[Date]&lt;=Tracking[[#This Row],[Date]]),(Tracking[Type]&lt;&gt;"Income")*(-1)+(Tracking[Type]="Income"))</f>
        <v>1662.5700000000006</v>
      </c>
      <c r="I508" s="51">
        <f>IF(AND(Tracking[[#This Row],[Type]]="Income",shift_late_income_status="Active",DAY(Tracking[[#This Row],[Date]])&gt;=shift_late_income_starting_day),DATE(YEAR(Tracking[[#This Row],[Date]]),MONTH(Tracking[[#This Row],[Date]])+1,1),Tracking[[#This Row],[Date]])</f>
        <v>46048</v>
      </c>
    </row>
    <row r="509" spans="3:9" x14ac:dyDescent="0.3">
      <c r="C509" s="41">
        <v>46048</v>
      </c>
      <c r="D509" s="39" t="s">
        <v>9</v>
      </c>
      <c r="E509" s="39" t="s">
        <v>10</v>
      </c>
      <c r="F509" s="139">
        <v>24.3</v>
      </c>
      <c r="G509" s="40" t="s">
        <v>304</v>
      </c>
      <c r="H509" s="43" cm="1">
        <f t="array" ref="H509">SUMPRODUCT(Tracking[Amount],--(Tracking[Date]&lt;=Tracking[[#This Row],[Date]]),(Tracking[Type]&lt;&gt;"Income")*(-1)+(Tracking[Type]="Income"))</f>
        <v>1662.5700000000006</v>
      </c>
      <c r="I509" s="51">
        <f>IF(AND(Tracking[[#This Row],[Type]]="Income",shift_late_income_status="Active",DAY(Tracking[[#This Row],[Date]])&gt;=shift_late_income_starting_day),DATE(YEAR(Tracking[[#This Row],[Date]]),MONTH(Tracking[[#This Row],[Date]])+1,1),Tracking[[#This Row],[Date]])</f>
        <v>46048</v>
      </c>
    </row>
    <row r="510" spans="3:9" x14ac:dyDescent="0.3">
      <c r="C510" s="41">
        <v>46048</v>
      </c>
      <c r="D510" s="39" t="s">
        <v>9</v>
      </c>
      <c r="E510" s="39" t="s">
        <v>111</v>
      </c>
      <c r="F510" s="139">
        <v>32.770000000000003</v>
      </c>
      <c r="G510" s="40" t="s">
        <v>290</v>
      </c>
      <c r="H510" s="43" cm="1">
        <f t="array" ref="H510">SUMPRODUCT(Tracking[Amount],--(Tracking[Date]&lt;=Tracking[[#This Row],[Date]]),(Tracking[Type]&lt;&gt;"Income")*(-1)+(Tracking[Type]="Income"))</f>
        <v>1662.5700000000006</v>
      </c>
      <c r="I510" s="51">
        <f>IF(AND(Tracking[[#This Row],[Type]]="Income",shift_late_income_status="Active",DAY(Tracking[[#This Row],[Date]])&gt;=shift_late_income_starting_day),DATE(YEAR(Tracking[[#This Row],[Date]]),MONTH(Tracking[[#This Row],[Date]])+1,1),Tracking[[#This Row],[Date]])</f>
        <v>46048</v>
      </c>
    </row>
    <row r="511" spans="3:9" x14ac:dyDescent="0.3">
      <c r="C511" s="41">
        <v>46048</v>
      </c>
      <c r="D511" s="39" t="s">
        <v>9</v>
      </c>
      <c r="E511" s="39" t="s">
        <v>10</v>
      </c>
      <c r="F511" s="139">
        <v>37.700000000000003</v>
      </c>
      <c r="G511" s="40" t="s">
        <v>227</v>
      </c>
      <c r="H511" s="43" cm="1">
        <f t="array" ref="H511">SUMPRODUCT(Tracking[Amount],--(Tracking[Date]&lt;=Tracking[[#This Row],[Date]]),(Tracking[Type]&lt;&gt;"Income")*(-1)+(Tracking[Type]="Income"))</f>
        <v>1662.5700000000006</v>
      </c>
      <c r="I511" s="51">
        <f>IF(AND(Tracking[[#This Row],[Type]]="Income",shift_late_income_status="Active",DAY(Tracking[[#This Row],[Date]])&gt;=shift_late_income_starting_day),DATE(YEAR(Tracking[[#This Row],[Date]]),MONTH(Tracking[[#This Row],[Date]])+1,1),Tracking[[#This Row],[Date]])</f>
        <v>46048</v>
      </c>
    </row>
    <row r="512" spans="3:9" x14ac:dyDescent="0.3">
      <c r="C512" s="41">
        <v>46050</v>
      </c>
      <c r="D512" s="39" t="s">
        <v>9</v>
      </c>
      <c r="E512" s="39" t="s">
        <v>10</v>
      </c>
      <c r="F512" s="139">
        <v>12.54</v>
      </c>
      <c r="G512" s="40" t="s">
        <v>248</v>
      </c>
      <c r="H512" s="43" cm="1">
        <f t="array" ref="H512">SUMPRODUCT(Tracking[Amount],--(Tracking[Date]&lt;=Tracking[[#This Row],[Date]]),(Tracking[Type]&lt;&gt;"Income")*(-1)+(Tracking[Type]="Income"))</f>
        <v>1513.0300000000007</v>
      </c>
      <c r="I512" s="51">
        <f>IF(AND(Tracking[[#This Row],[Type]]="Income",shift_late_income_status="Active",DAY(Tracking[[#This Row],[Date]])&gt;=shift_late_income_starting_day),DATE(YEAR(Tracking[[#This Row],[Date]]),MONTH(Tracking[[#This Row],[Date]])+1,1),Tracking[[#This Row],[Date]])</f>
        <v>46050</v>
      </c>
    </row>
    <row r="513" spans="3:9" x14ac:dyDescent="0.3">
      <c r="C513" s="41">
        <v>46050</v>
      </c>
      <c r="D513" s="39" t="s">
        <v>9</v>
      </c>
      <c r="E513" s="39" t="s">
        <v>10</v>
      </c>
      <c r="F513" s="139">
        <v>23.82</v>
      </c>
      <c r="G513" s="40" t="s">
        <v>274</v>
      </c>
      <c r="H513" s="43" cm="1">
        <f t="array" ref="H513">SUMPRODUCT(Tracking[Amount],--(Tracking[Date]&lt;=Tracking[[#This Row],[Date]]),(Tracking[Type]&lt;&gt;"Income")*(-1)+(Tracking[Type]="Income"))</f>
        <v>1513.0300000000007</v>
      </c>
      <c r="I513" s="51">
        <f>IF(AND(Tracking[[#This Row],[Type]]="Income",shift_late_income_status="Active",DAY(Tracking[[#This Row],[Date]])&gt;=shift_late_income_starting_day),DATE(YEAR(Tracking[[#This Row],[Date]]),MONTH(Tracking[[#This Row],[Date]])+1,1),Tracking[[#This Row],[Date]])</f>
        <v>46050</v>
      </c>
    </row>
    <row r="514" spans="3:9" x14ac:dyDescent="0.3">
      <c r="C514" s="41">
        <v>46050</v>
      </c>
      <c r="D514" s="39" t="s">
        <v>9</v>
      </c>
      <c r="E514" s="39" t="s">
        <v>108</v>
      </c>
      <c r="F514" s="139">
        <v>29.88</v>
      </c>
      <c r="G514" s="40" t="s">
        <v>257</v>
      </c>
      <c r="H514" s="43" cm="1">
        <f t="array" ref="H514">SUMPRODUCT(Tracking[Amount],--(Tracking[Date]&lt;=Tracking[[#This Row],[Date]]),(Tracking[Type]&lt;&gt;"Income")*(-1)+(Tracking[Type]="Income"))</f>
        <v>1513.0300000000007</v>
      </c>
      <c r="I514" s="51">
        <f>IF(AND(Tracking[[#This Row],[Type]]="Income",shift_late_income_status="Active",DAY(Tracking[[#This Row],[Date]])&gt;=shift_late_income_starting_day),DATE(YEAR(Tracking[[#This Row],[Date]]),MONTH(Tracking[[#This Row],[Date]])+1,1),Tracking[[#This Row],[Date]])</f>
        <v>46050</v>
      </c>
    </row>
    <row r="515" spans="3:9" x14ac:dyDescent="0.3">
      <c r="C515" s="41">
        <v>46050</v>
      </c>
      <c r="D515" s="39" t="s">
        <v>9</v>
      </c>
      <c r="E515" s="39" t="s">
        <v>309</v>
      </c>
      <c r="F515" s="139">
        <v>83.3</v>
      </c>
      <c r="G515" s="40" t="s">
        <v>309</v>
      </c>
      <c r="H515" s="43" cm="1">
        <f t="array" ref="H515">SUMPRODUCT(Tracking[Amount],--(Tracking[Date]&lt;=Tracking[[#This Row],[Date]]),(Tracking[Type]&lt;&gt;"Income")*(-1)+(Tracking[Type]="Income"))</f>
        <v>1513.0300000000007</v>
      </c>
      <c r="I515" s="51">
        <f>IF(AND(Tracking[[#This Row],[Type]]="Income",shift_late_income_status="Active",DAY(Tracking[[#This Row],[Date]])&gt;=shift_late_income_starting_day),DATE(YEAR(Tracking[[#This Row],[Date]]),MONTH(Tracking[[#This Row],[Date]])+1,1),Tracking[[#This Row],[Date]])</f>
        <v>46050</v>
      </c>
    </row>
    <row r="516" spans="3:9" x14ac:dyDescent="0.3">
      <c r="C516" s="41">
        <v>46052</v>
      </c>
      <c r="D516" s="39" t="s">
        <v>9</v>
      </c>
      <c r="E516" s="39" t="s">
        <v>10</v>
      </c>
      <c r="F516" s="139">
        <v>24.3</v>
      </c>
      <c r="G516" s="40" t="s">
        <v>304</v>
      </c>
      <c r="H516" s="43" cm="1">
        <f t="array" ref="H516">SUMPRODUCT(Tracking[Amount],--(Tracking[Date]&lt;=Tracking[[#This Row],[Date]]),(Tracking[Type]&lt;&gt;"Income")*(-1)+(Tracking[Type]="Income"))</f>
        <v>1488.7300000000007</v>
      </c>
      <c r="I516" s="51">
        <f>IF(AND(Tracking[[#This Row],[Type]]="Income",shift_late_income_status="Active",DAY(Tracking[[#This Row],[Date]])&gt;=shift_late_income_starting_day),DATE(YEAR(Tracking[[#This Row],[Date]]),MONTH(Tracking[[#This Row],[Date]])+1,1),Tracking[[#This Row],[Date]])</f>
        <v>46052</v>
      </c>
    </row>
    <row r="517" spans="3:9" x14ac:dyDescent="0.3">
      <c r="C517" s="41">
        <v>46055</v>
      </c>
      <c r="D517" s="39" t="s">
        <v>9</v>
      </c>
      <c r="E517" s="39" t="s">
        <v>12</v>
      </c>
      <c r="F517" s="139">
        <v>16.18</v>
      </c>
      <c r="G517" s="40" t="s">
        <v>289</v>
      </c>
      <c r="H517" s="43" cm="1">
        <f t="array" ref="H517">SUMPRODUCT(Tracking[Amount],--(Tracking[Date]&lt;=Tracking[[#This Row],[Date]]),(Tracking[Type]&lt;&gt;"Income")*(-1)+(Tracking[Type]="Income"))</f>
        <v>1276.5400000000006</v>
      </c>
      <c r="I517" s="51">
        <f>IF(AND(Tracking[[#This Row],[Type]]="Income",shift_late_income_status="Active",DAY(Tracking[[#This Row],[Date]])&gt;=shift_late_income_starting_day),DATE(YEAR(Tracking[[#This Row],[Date]]),MONTH(Tracking[[#This Row],[Date]])+1,1),Tracking[[#This Row],[Date]])</f>
        <v>46055</v>
      </c>
    </row>
    <row r="518" spans="3:9" x14ac:dyDescent="0.3">
      <c r="C518" s="41">
        <v>46055</v>
      </c>
      <c r="D518" s="39" t="s">
        <v>9</v>
      </c>
      <c r="E518" s="39" t="s">
        <v>10</v>
      </c>
      <c r="F518" s="139">
        <v>31.99</v>
      </c>
      <c r="G518" s="40" t="s">
        <v>165</v>
      </c>
      <c r="H518" s="43" cm="1">
        <f t="array" ref="H518">SUMPRODUCT(Tracking[Amount],--(Tracking[Date]&lt;=Tracking[[#This Row],[Date]]),(Tracking[Type]&lt;&gt;"Income")*(-1)+(Tracking[Type]="Income"))</f>
        <v>1276.5400000000006</v>
      </c>
      <c r="I518" s="51">
        <f>IF(AND(Tracking[[#This Row],[Type]]="Income",shift_late_income_status="Active",DAY(Tracking[[#This Row],[Date]])&gt;=shift_late_income_starting_day),DATE(YEAR(Tracking[[#This Row],[Date]]),MONTH(Tracking[[#This Row],[Date]])+1,1),Tracking[[#This Row],[Date]])</f>
        <v>46055</v>
      </c>
    </row>
    <row r="519" spans="3:9" x14ac:dyDescent="0.3">
      <c r="C519" s="41">
        <v>46055</v>
      </c>
      <c r="D519" s="39" t="s">
        <v>9</v>
      </c>
      <c r="E519" s="39" t="s">
        <v>10</v>
      </c>
      <c r="F519" s="139">
        <v>38.479999999999997</v>
      </c>
      <c r="G519" s="40" t="s">
        <v>310</v>
      </c>
      <c r="H519" s="43" cm="1">
        <f t="array" ref="H519">SUMPRODUCT(Tracking[Amount],--(Tracking[Date]&lt;=Tracking[[#This Row],[Date]]),(Tracking[Type]&lt;&gt;"Income")*(-1)+(Tracking[Type]="Income"))</f>
        <v>1276.5400000000006</v>
      </c>
      <c r="I519" s="51">
        <f>IF(AND(Tracking[[#This Row],[Type]]="Income",shift_late_income_status="Active",DAY(Tracking[[#This Row],[Date]])&gt;=shift_late_income_starting_day),DATE(YEAR(Tracking[[#This Row],[Date]]),MONTH(Tracking[[#This Row],[Date]])+1,1),Tracking[[#This Row],[Date]])</f>
        <v>46055</v>
      </c>
    </row>
    <row r="520" spans="3:9" x14ac:dyDescent="0.3">
      <c r="C520" s="41">
        <v>46055</v>
      </c>
      <c r="D520" s="39" t="s">
        <v>9</v>
      </c>
      <c r="E520" s="39" t="s">
        <v>111</v>
      </c>
      <c r="F520" s="139">
        <v>54.09</v>
      </c>
      <c r="G520" s="40" t="s">
        <v>311</v>
      </c>
      <c r="H520" s="43" cm="1">
        <f t="array" ref="H520">SUMPRODUCT(Tracking[Amount],--(Tracking[Date]&lt;=Tracking[[#This Row],[Date]]),(Tracking[Type]&lt;&gt;"Income")*(-1)+(Tracking[Type]="Income"))</f>
        <v>1276.5400000000006</v>
      </c>
      <c r="I520" s="51">
        <f>IF(AND(Tracking[[#This Row],[Type]]="Income",shift_late_income_status="Active",DAY(Tracking[[#This Row],[Date]])&gt;=shift_late_income_starting_day),DATE(YEAR(Tracking[[#This Row],[Date]]),MONTH(Tracking[[#This Row],[Date]])+1,1),Tracking[[#This Row],[Date]])</f>
        <v>46055</v>
      </c>
    </row>
    <row r="521" spans="3:9" x14ac:dyDescent="0.3">
      <c r="C521" s="41">
        <v>46055</v>
      </c>
      <c r="D521" s="39" t="s">
        <v>9</v>
      </c>
      <c r="E521" s="39" t="s">
        <v>108</v>
      </c>
      <c r="F521" s="139">
        <v>71.45</v>
      </c>
      <c r="G521" s="40" t="s">
        <v>251</v>
      </c>
      <c r="H521" s="43" cm="1">
        <f t="array" ref="H521">SUMPRODUCT(Tracking[Amount],--(Tracking[Date]&lt;=Tracking[[#This Row],[Date]]),(Tracking[Type]&lt;&gt;"Income")*(-1)+(Tracking[Type]="Income"))</f>
        <v>1276.5400000000006</v>
      </c>
      <c r="I521" s="51">
        <f>IF(AND(Tracking[[#This Row],[Type]]="Income",shift_late_income_status="Active",DAY(Tracking[[#This Row],[Date]])&gt;=shift_late_income_starting_day),DATE(YEAR(Tracking[[#This Row],[Date]]),MONTH(Tracking[[#This Row],[Date]])+1,1),Tracking[[#This Row],[Date]])</f>
        <v>46055</v>
      </c>
    </row>
    <row r="522" spans="3:9" x14ac:dyDescent="0.3">
      <c r="C522" s="41">
        <v>46057</v>
      </c>
      <c r="D522" s="39" t="s">
        <v>9</v>
      </c>
      <c r="E522" s="39" t="s">
        <v>111</v>
      </c>
      <c r="F522" s="139">
        <v>2.13</v>
      </c>
      <c r="G522" s="40" t="s">
        <v>312</v>
      </c>
      <c r="H522" s="43" cm="1">
        <f t="array" ref="H522">SUMPRODUCT(Tracking[Amount],--(Tracking[Date]&lt;=Tracking[[#This Row],[Date]]),(Tracking[Type]&lt;&gt;"Income")*(-1)+(Tracking[Type]="Income"))</f>
        <v>1269.0100000000004</v>
      </c>
      <c r="I522" s="51">
        <f>IF(AND(Tracking[[#This Row],[Type]]="Income",shift_late_income_status="Active",DAY(Tracking[[#This Row],[Date]])&gt;=shift_late_income_starting_day),DATE(YEAR(Tracking[[#This Row],[Date]]),MONTH(Tracking[[#This Row],[Date]])+1,1),Tracking[[#This Row],[Date]])</f>
        <v>46057</v>
      </c>
    </row>
    <row r="523" spans="3:9" x14ac:dyDescent="0.3">
      <c r="C523" s="41">
        <v>46057</v>
      </c>
      <c r="D523" s="39" t="s">
        <v>9</v>
      </c>
      <c r="E523" s="39" t="s">
        <v>12</v>
      </c>
      <c r="F523" s="139">
        <v>5.4</v>
      </c>
      <c r="G523" s="40" t="s">
        <v>238</v>
      </c>
      <c r="H523" s="43" cm="1">
        <f t="array" ref="H523">SUMPRODUCT(Tracking[Amount],--(Tracking[Date]&lt;=Tracking[[#This Row],[Date]]),(Tracking[Type]&lt;&gt;"Income")*(-1)+(Tracking[Type]="Income"))</f>
        <v>1269.0100000000004</v>
      </c>
      <c r="I523" s="51">
        <f>IF(AND(Tracking[[#This Row],[Type]]="Income",shift_late_income_status="Active",DAY(Tracking[[#This Row],[Date]])&gt;=shift_late_income_starting_day),DATE(YEAR(Tracking[[#This Row],[Date]]),MONTH(Tracking[[#This Row],[Date]])+1,1),Tracking[[#This Row],[Date]])</f>
        <v>46057</v>
      </c>
    </row>
    <row r="524" spans="3:9" x14ac:dyDescent="0.3">
      <c r="C524" s="41">
        <v>46059</v>
      </c>
      <c r="D524" s="39" t="s">
        <v>5</v>
      </c>
      <c r="E524" s="39" t="s">
        <v>103</v>
      </c>
      <c r="F524" s="139">
        <v>738.37</v>
      </c>
      <c r="G524" s="40"/>
      <c r="H524" s="43" cm="1">
        <f t="array" ref="H524">SUMPRODUCT(Tracking[Amount],--(Tracking[Date]&lt;=Tracking[[#This Row],[Date]]),(Tracking[Type]&lt;&gt;"Income")*(-1)+(Tracking[Type]="Income"))</f>
        <v>2007.3800000000006</v>
      </c>
      <c r="I524" s="51">
        <f>IF(AND(Tracking[[#This Row],[Type]]="Income",shift_late_income_status="Active",DAY(Tracking[[#This Row],[Date]])&gt;=shift_late_income_starting_day),DATE(YEAR(Tracking[[#This Row],[Date]]),MONTH(Tracking[[#This Row],[Date]])+1,1),Tracking[[#This Row],[Date]])</f>
        <v>46059</v>
      </c>
    </row>
    <row r="525" spans="3:9" x14ac:dyDescent="0.3">
      <c r="C525" s="41">
        <v>46062</v>
      </c>
      <c r="D525" s="39" t="s">
        <v>9</v>
      </c>
      <c r="E525" s="39" t="s">
        <v>319</v>
      </c>
      <c r="F525" s="139">
        <v>3500</v>
      </c>
      <c r="G525" s="40" t="s">
        <v>313</v>
      </c>
      <c r="H525" s="43" cm="1">
        <f t="array" ref="H525">SUMPRODUCT(Tracking[Amount],--(Tracking[Date]&lt;=Tracking[[#This Row],[Date]]),(Tracking[Type]&lt;&gt;"Income")*(-1)+(Tracking[Type]="Income"))</f>
        <v>-1890.639999999999</v>
      </c>
      <c r="I525" s="51">
        <f>IF(AND(Tracking[[#This Row],[Type]]="Income",shift_late_income_status="Active",DAY(Tracking[[#This Row],[Date]])&gt;=shift_late_income_starting_day),DATE(YEAR(Tracking[[#This Row],[Date]]),MONTH(Tracking[[#This Row],[Date]])+1,1),Tracking[[#This Row],[Date]])</f>
        <v>46062</v>
      </c>
    </row>
    <row r="526" spans="3:9" x14ac:dyDescent="0.3">
      <c r="C526" s="41">
        <v>46062</v>
      </c>
      <c r="D526" s="39" t="s">
        <v>9</v>
      </c>
      <c r="E526" s="39" t="s">
        <v>10</v>
      </c>
      <c r="F526" s="139">
        <v>10.06</v>
      </c>
      <c r="G526" s="40" t="s">
        <v>271</v>
      </c>
      <c r="H526" s="43" cm="1">
        <f t="array" ref="H526">SUMPRODUCT(Tracking[Amount],--(Tracking[Date]&lt;=Tracking[[#This Row],[Date]]),(Tracking[Type]&lt;&gt;"Income")*(-1)+(Tracking[Type]="Income"))</f>
        <v>-1890.639999999999</v>
      </c>
      <c r="I526" s="51">
        <f>IF(AND(Tracking[[#This Row],[Type]]="Income",shift_late_income_status="Active",DAY(Tracking[[#This Row],[Date]])&gt;=shift_late_income_starting_day),DATE(YEAR(Tracking[[#This Row],[Date]]),MONTH(Tracking[[#This Row],[Date]])+1,1),Tracking[[#This Row],[Date]])</f>
        <v>46062</v>
      </c>
    </row>
    <row r="527" spans="3:9" x14ac:dyDescent="0.3">
      <c r="C527" s="65">
        <v>46062</v>
      </c>
      <c r="D527" s="66" t="s">
        <v>9</v>
      </c>
      <c r="E527" s="66" t="s">
        <v>10</v>
      </c>
      <c r="F527" s="140">
        <v>10.06</v>
      </c>
      <c r="G527" s="40" t="s">
        <v>271</v>
      </c>
      <c r="H527" s="43" cm="1">
        <f t="array" ref="H527">SUMPRODUCT(Tracking[Amount],--(Tracking[Date]&lt;=Tracking[[#This Row],[Date]]),(Tracking[Type]&lt;&gt;"Income")*(-1)+(Tracking[Type]="Income"))</f>
        <v>-1890.639999999999</v>
      </c>
      <c r="I527" s="51">
        <f>IF(AND(Tracking[[#This Row],[Type]]="Income",shift_late_income_status="Active",DAY(Tracking[[#This Row],[Date]])&gt;=shift_late_income_starting_day),DATE(YEAR(Tracking[[#This Row],[Date]]),MONTH(Tracking[[#This Row],[Date]])+1,1),Tracking[[#This Row],[Date]])</f>
        <v>46062</v>
      </c>
    </row>
    <row r="528" spans="3:9" x14ac:dyDescent="0.3">
      <c r="C528" s="41">
        <v>46062</v>
      </c>
      <c r="D528" s="39" t="s">
        <v>9</v>
      </c>
      <c r="E528" s="39" t="s">
        <v>10</v>
      </c>
      <c r="F528" s="139">
        <v>11.85</v>
      </c>
      <c r="G528" s="40" t="s">
        <v>310</v>
      </c>
      <c r="H528" s="43" cm="1">
        <f t="array" ref="H528">SUMPRODUCT(Tracking[Amount],--(Tracking[Date]&lt;=Tracking[[#This Row],[Date]]),(Tracking[Type]&lt;&gt;"Income")*(-1)+(Tracking[Type]="Income"))</f>
        <v>-1890.639999999999</v>
      </c>
      <c r="I528" s="51">
        <f>IF(AND(Tracking[[#This Row],[Type]]="Income",shift_late_income_status="Active",DAY(Tracking[[#This Row],[Date]])&gt;=shift_late_income_starting_day),DATE(YEAR(Tracking[[#This Row],[Date]]),MONTH(Tracking[[#This Row],[Date]])+1,1),Tracking[[#This Row],[Date]])</f>
        <v>46062</v>
      </c>
    </row>
    <row r="529" spans="3:9" x14ac:dyDescent="0.3">
      <c r="C529" s="41">
        <v>46062</v>
      </c>
      <c r="D529" s="39" t="s">
        <v>9</v>
      </c>
      <c r="E529" s="39" t="s">
        <v>108</v>
      </c>
      <c r="F529" s="139">
        <v>16.329999999999998</v>
      </c>
      <c r="G529" s="40" t="s">
        <v>314</v>
      </c>
      <c r="H529" s="43" cm="1">
        <f t="array" ref="H529">SUMPRODUCT(Tracking[Amount],--(Tracking[Date]&lt;=Tracking[[#This Row],[Date]]),(Tracking[Type]&lt;&gt;"Income")*(-1)+(Tracking[Type]="Income"))</f>
        <v>-1890.639999999999</v>
      </c>
      <c r="I529" s="51">
        <f>IF(AND(Tracking[[#This Row],[Type]]="Income",shift_late_income_status="Active",DAY(Tracking[[#This Row],[Date]])&gt;=shift_late_income_starting_day),DATE(YEAR(Tracking[[#This Row],[Date]]),MONTH(Tracking[[#This Row],[Date]])+1,1),Tracking[[#This Row],[Date]])</f>
        <v>46062</v>
      </c>
    </row>
    <row r="530" spans="3:9" x14ac:dyDescent="0.3">
      <c r="C530" s="41">
        <v>46062</v>
      </c>
      <c r="D530" s="39" t="s">
        <v>9</v>
      </c>
      <c r="E530" s="39" t="s">
        <v>108</v>
      </c>
      <c r="F530" s="139">
        <v>22.07</v>
      </c>
      <c r="G530" s="40" t="s">
        <v>315</v>
      </c>
      <c r="H530" s="43" cm="1">
        <f t="array" ref="H530">SUMPRODUCT(Tracking[Amount],--(Tracking[Date]&lt;=Tracking[[#This Row],[Date]]),(Tracking[Type]&lt;&gt;"Income")*(-1)+(Tracking[Type]="Income"))</f>
        <v>-1890.639999999999</v>
      </c>
      <c r="I530" s="51">
        <f>IF(AND(Tracking[[#This Row],[Type]]="Income",shift_late_income_status="Active",DAY(Tracking[[#This Row],[Date]])&gt;=shift_late_income_starting_day),DATE(YEAR(Tracking[[#This Row],[Date]]),MONTH(Tracking[[#This Row],[Date]])+1,1),Tracking[[#This Row],[Date]])</f>
        <v>46062</v>
      </c>
    </row>
    <row r="531" spans="3:9" x14ac:dyDescent="0.3">
      <c r="C531" s="65">
        <v>46062</v>
      </c>
      <c r="D531" s="66" t="s">
        <v>9</v>
      </c>
      <c r="E531" s="66" t="s">
        <v>108</v>
      </c>
      <c r="F531" s="140">
        <v>30.19</v>
      </c>
      <c r="G531" s="40" t="s">
        <v>315</v>
      </c>
      <c r="H531" s="43" cm="1">
        <f t="array" ref="H531">SUMPRODUCT(Tracking[Amount],--(Tracking[Date]&lt;=Tracking[[#This Row],[Date]]),(Tracking[Type]&lt;&gt;"Income")*(-1)+(Tracking[Type]="Income"))</f>
        <v>-1890.639999999999</v>
      </c>
      <c r="I531" s="51">
        <f>IF(AND(Tracking[[#This Row],[Type]]="Income",shift_late_income_status="Active",DAY(Tracking[[#This Row],[Date]])&gt;=shift_late_income_starting_day),DATE(YEAR(Tracking[[#This Row],[Date]]),MONTH(Tracking[[#This Row],[Date]])+1,1),Tracking[[#This Row],[Date]])</f>
        <v>46062</v>
      </c>
    </row>
    <row r="532" spans="3:9" x14ac:dyDescent="0.3">
      <c r="C532" s="41">
        <v>46062</v>
      </c>
      <c r="D532" s="39" t="s">
        <v>9</v>
      </c>
      <c r="E532" s="39" t="s">
        <v>10</v>
      </c>
      <c r="F532" s="139">
        <v>31.24</v>
      </c>
      <c r="G532" s="40" t="s">
        <v>165</v>
      </c>
      <c r="H532" s="43" cm="1">
        <f t="array" ref="H532">SUMPRODUCT(Tracking[Amount],--(Tracking[Date]&lt;=Tracking[[#This Row],[Date]]),(Tracking[Type]&lt;&gt;"Income")*(-1)+(Tracking[Type]="Income"))</f>
        <v>-1890.639999999999</v>
      </c>
      <c r="I532" s="51">
        <f>IF(AND(Tracking[[#This Row],[Type]]="Income",shift_late_income_status="Active",DAY(Tracking[[#This Row],[Date]])&gt;=shift_late_income_starting_day),DATE(YEAR(Tracking[[#This Row],[Date]]),MONTH(Tracking[[#This Row],[Date]])+1,1),Tracking[[#This Row],[Date]])</f>
        <v>46062</v>
      </c>
    </row>
    <row r="533" spans="3:9" x14ac:dyDescent="0.3">
      <c r="C533" s="41">
        <v>46062</v>
      </c>
      <c r="D533" s="39" t="s">
        <v>9</v>
      </c>
      <c r="E533" s="39" t="s">
        <v>108</v>
      </c>
      <c r="F533" s="139">
        <v>50</v>
      </c>
      <c r="G533" s="40" t="s">
        <v>316</v>
      </c>
      <c r="H533" s="43" cm="1">
        <f t="array" ref="H533">SUMPRODUCT(Tracking[Amount],--(Tracking[Date]&lt;=Tracking[[#This Row],[Date]]),(Tracking[Type]&lt;&gt;"Income")*(-1)+(Tracking[Type]="Income"))</f>
        <v>-1890.639999999999</v>
      </c>
      <c r="I533" s="51">
        <f>IF(AND(Tracking[[#This Row],[Type]]="Income",shift_late_income_status="Active",DAY(Tracking[[#This Row],[Date]])&gt;=shift_late_income_starting_day),DATE(YEAR(Tracking[[#This Row],[Date]]),MONTH(Tracking[[#This Row],[Date]])+1,1),Tracking[[#This Row],[Date]])</f>
        <v>46062</v>
      </c>
    </row>
    <row r="534" spans="3:9" x14ac:dyDescent="0.3">
      <c r="C534" s="41">
        <v>46062</v>
      </c>
      <c r="D534" s="39" t="s">
        <v>9</v>
      </c>
      <c r="E534" s="39" t="s">
        <v>10</v>
      </c>
      <c r="F534" s="139">
        <v>70.09</v>
      </c>
      <c r="G534" s="40" t="s">
        <v>317</v>
      </c>
      <c r="H534" s="43" cm="1">
        <f t="array" ref="H534">SUMPRODUCT(Tracking[Amount],--(Tracking[Date]&lt;=Tracking[[#This Row],[Date]]),(Tracking[Type]&lt;&gt;"Income")*(-1)+(Tracking[Type]="Income"))</f>
        <v>-1890.639999999999</v>
      </c>
      <c r="I534" s="51">
        <f>IF(AND(Tracking[[#This Row],[Type]]="Income",shift_late_income_status="Active",DAY(Tracking[[#This Row],[Date]])&gt;=shift_late_income_starting_day),DATE(YEAR(Tracking[[#This Row],[Date]]),MONTH(Tracking[[#This Row],[Date]])+1,1),Tracking[[#This Row],[Date]])</f>
        <v>46062</v>
      </c>
    </row>
    <row r="535" spans="3:9" x14ac:dyDescent="0.3">
      <c r="C535" s="41">
        <v>46062</v>
      </c>
      <c r="D535" s="39" t="s">
        <v>9</v>
      </c>
      <c r="E535" s="39" t="s">
        <v>108</v>
      </c>
      <c r="F535" s="139">
        <v>146.13</v>
      </c>
      <c r="G535" s="40" t="s">
        <v>315</v>
      </c>
      <c r="H535" s="43" cm="1">
        <f t="array" ref="H535">SUMPRODUCT(Tracking[Amount],--(Tracking[Date]&lt;=Tracking[[#This Row],[Date]]),(Tracking[Type]&lt;&gt;"Income")*(-1)+(Tracking[Type]="Income"))</f>
        <v>-1890.639999999999</v>
      </c>
      <c r="I535" s="51">
        <f>IF(AND(Tracking[[#This Row],[Type]]="Income",shift_late_income_status="Active",DAY(Tracking[[#This Row],[Date]])&gt;=shift_late_income_starting_day),DATE(YEAR(Tracking[[#This Row],[Date]]),MONTH(Tracking[[#This Row],[Date]])+1,1),Tracking[[#This Row],[Date]])</f>
        <v>46062</v>
      </c>
    </row>
    <row r="536" spans="3:9" x14ac:dyDescent="0.3">
      <c r="C536" s="41">
        <v>46063</v>
      </c>
      <c r="D536" s="39" t="s">
        <v>14</v>
      </c>
      <c r="E536" s="39" t="s">
        <v>110</v>
      </c>
      <c r="F536" s="139">
        <v>96</v>
      </c>
      <c r="G536" s="40"/>
      <c r="H536" s="43" cm="1">
        <f t="array" ref="H536">SUMPRODUCT(Tracking[Amount],--(Tracking[Date]&lt;=Tracking[[#This Row],[Date]]),(Tracking[Type]&lt;&gt;"Income")*(-1)+(Tracking[Type]="Income"))</f>
        <v>-1986.639999999999</v>
      </c>
      <c r="I536" s="51">
        <f>IF(AND(Tracking[[#This Row],[Type]]="Income",shift_late_income_status="Active",DAY(Tracking[[#This Row],[Date]])&gt;=shift_late_income_starting_day),DATE(YEAR(Tracking[[#This Row],[Date]]),MONTH(Tracking[[#This Row],[Date]])+1,1),Tracking[[#This Row],[Date]])</f>
        <v>46063</v>
      </c>
    </row>
    <row r="537" spans="3:9" x14ac:dyDescent="0.3">
      <c r="C537" s="41">
        <v>46065</v>
      </c>
      <c r="D537" s="39" t="s">
        <v>9</v>
      </c>
      <c r="E537" s="39" t="s">
        <v>111</v>
      </c>
      <c r="F537" s="139">
        <v>43.5</v>
      </c>
      <c r="G537" s="40" t="s">
        <v>297</v>
      </c>
      <c r="H537" s="43" cm="1">
        <f t="array" ref="H537">SUMPRODUCT(Tracking[Amount],--(Tracking[Date]&lt;=Tracking[[#This Row],[Date]]),(Tracking[Type]&lt;&gt;"Income")*(-1)+(Tracking[Type]="Income"))</f>
        <v>-2031.639999999999</v>
      </c>
      <c r="I537" s="51">
        <f>IF(AND(Tracking[[#This Row],[Type]]="Income",shift_late_income_status="Active",DAY(Tracking[[#This Row],[Date]])&gt;=shift_late_income_starting_day),DATE(YEAR(Tracking[[#This Row],[Date]]),MONTH(Tracking[[#This Row],[Date]])+1,1),Tracking[[#This Row],[Date]])</f>
        <v>46065</v>
      </c>
    </row>
    <row r="538" spans="3:9" x14ac:dyDescent="0.3">
      <c r="C538" s="41">
        <v>46065</v>
      </c>
      <c r="D538" s="39" t="s">
        <v>9</v>
      </c>
      <c r="E538" s="39" t="s">
        <v>111</v>
      </c>
      <c r="F538" s="139">
        <v>1.5</v>
      </c>
      <c r="G538" s="40" t="s">
        <v>297</v>
      </c>
      <c r="H538" s="43" cm="1">
        <f t="array" ref="H538">SUMPRODUCT(Tracking[Amount],--(Tracking[Date]&lt;=Tracking[[#This Row],[Date]]),(Tracking[Type]&lt;&gt;"Income")*(-1)+(Tracking[Type]="Income"))</f>
        <v>-2031.639999999999</v>
      </c>
      <c r="I538" s="51">
        <f>IF(AND(Tracking[[#This Row],[Type]]="Income",shift_late_income_status="Active",DAY(Tracking[[#This Row],[Date]])&gt;=shift_late_income_starting_day),DATE(YEAR(Tracking[[#This Row],[Date]]),MONTH(Tracking[[#This Row],[Date]])+1,1),Tracking[[#This Row],[Date]])</f>
        <v>46065</v>
      </c>
    </row>
    <row r="539" spans="3:9" x14ac:dyDescent="0.3">
      <c r="C539" s="41">
        <v>46066</v>
      </c>
      <c r="D539" s="39" t="s">
        <v>9</v>
      </c>
      <c r="E539" s="39" t="s">
        <v>10</v>
      </c>
      <c r="F539" s="139">
        <v>20.239999999999998</v>
      </c>
      <c r="G539" s="40" t="s">
        <v>304</v>
      </c>
      <c r="H539" s="43" cm="1">
        <f t="array" ref="H539">SUMPRODUCT(Tracking[Amount],--(Tracking[Date]&lt;=Tracking[[#This Row],[Date]]),(Tracking[Type]&lt;&gt;"Income")*(-1)+(Tracking[Type]="Income"))</f>
        <v>-2151.2099999999982</v>
      </c>
      <c r="I539" s="51">
        <f>IF(AND(Tracking[[#This Row],[Type]]="Income",shift_late_income_status="Active",DAY(Tracking[[#This Row],[Date]])&gt;=shift_late_income_starting_day),DATE(YEAR(Tracking[[#This Row],[Date]]),MONTH(Tracking[[#This Row],[Date]])+1,1),Tracking[[#This Row],[Date]])</f>
        <v>46066</v>
      </c>
    </row>
    <row r="540" spans="3:9" x14ac:dyDescent="0.3">
      <c r="C540" s="41">
        <v>46066</v>
      </c>
      <c r="D540" s="39" t="s">
        <v>9</v>
      </c>
      <c r="E540" s="39" t="s">
        <v>108</v>
      </c>
      <c r="F540" s="139">
        <v>29.44</v>
      </c>
      <c r="G540" s="40" t="s">
        <v>315</v>
      </c>
      <c r="H540" s="43" cm="1">
        <f t="array" ref="H540">SUMPRODUCT(Tracking[Amount],--(Tracking[Date]&lt;=Tracking[[#This Row],[Date]]),(Tracking[Type]&lt;&gt;"Income")*(-1)+(Tracking[Type]="Income"))</f>
        <v>-2151.2099999999982</v>
      </c>
      <c r="I540" s="51">
        <f>IF(AND(Tracking[[#This Row],[Type]]="Income",shift_late_income_status="Active",DAY(Tracking[[#This Row],[Date]])&gt;=shift_late_income_starting_day),DATE(YEAR(Tracking[[#This Row],[Date]]),MONTH(Tracking[[#This Row],[Date]])+1,1),Tracking[[#This Row],[Date]])</f>
        <v>46066</v>
      </c>
    </row>
    <row r="541" spans="3:9" x14ac:dyDescent="0.3">
      <c r="C541" s="41">
        <v>46066</v>
      </c>
      <c r="D541" s="39" t="s">
        <v>9</v>
      </c>
      <c r="E541" s="39" t="s">
        <v>108</v>
      </c>
      <c r="F541" s="139">
        <v>48.68</v>
      </c>
      <c r="G541" s="40" t="s">
        <v>315</v>
      </c>
      <c r="H541" s="43" cm="1">
        <f t="array" ref="H541">SUMPRODUCT(Tracking[Amount],--(Tracking[Date]&lt;=Tracking[[#This Row],[Date]]),(Tracking[Type]&lt;&gt;"Income")*(-1)+(Tracking[Type]="Income"))</f>
        <v>-2151.2099999999982</v>
      </c>
      <c r="I541" s="51">
        <f>IF(AND(Tracking[[#This Row],[Type]]="Income",shift_late_income_status="Active",DAY(Tracking[[#This Row],[Date]])&gt;=shift_late_income_starting_day),DATE(YEAR(Tracking[[#This Row],[Date]]),MONTH(Tracking[[#This Row],[Date]])+1,1),Tracking[[#This Row],[Date]])</f>
        <v>46066</v>
      </c>
    </row>
    <row r="542" spans="3:9" x14ac:dyDescent="0.3">
      <c r="C542" s="41">
        <v>46066</v>
      </c>
      <c r="D542" s="39" t="s">
        <v>9</v>
      </c>
      <c r="E542" s="39" t="s">
        <v>108</v>
      </c>
      <c r="F542" s="139">
        <v>12.99</v>
      </c>
      <c r="G542" s="40" t="s">
        <v>315</v>
      </c>
      <c r="H542" s="43" cm="1">
        <f t="array" ref="H542">SUMPRODUCT(Tracking[Amount],--(Tracking[Date]&lt;=Tracking[[#This Row],[Date]]),(Tracking[Type]&lt;&gt;"Income")*(-1)+(Tracking[Type]="Income"))</f>
        <v>-2151.2099999999982</v>
      </c>
      <c r="I542" s="51">
        <f>IF(AND(Tracking[[#This Row],[Type]]="Income",shift_late_income_status="Active",DAY(Tracking[[#This Row],[Date]])&gt;=shift_late_income_starting_day),DATE(YEAR(Tracking[[#This Row],[Date]]),MONTH(Tracking[[#This Row],[Date]])+1,1),Tracking[[#This Row],[Date]])</f>
        <v>46066</v>
      </c>
    </row>
    <row r="543" spans="3:9" x14ac:dyDescent="0.3">
      <c r="C543" s="41">
        <v>46067</v>
      </c>
      <c r="D543" s="39" t="s">
        <v>9</v>
      </c>
      <c r="E543" s="39" t="s">
        <v>10</v>
      </c>
      <c r="F543" s="139">
        <v>46.4</v>
      </c>
      <c r="G543" s="40" t="s">
        <v>320</v>
      </c>
      <c r="H543" s="43" cm="1">
        <f t="array" ref="H543">SUMPRODUCT(Tracking[Amount],--(Tracking[Date]&lt;=Tracking[[#This Row],[Date]]),(Tracking[Type]&lt;&gt;"Income")*(-1)+(Tracking[Type]="Income"))</f>
        <v>-2197.6099999999983</v>
      </c>
      <c r="I543" s="51">
        <f>IF(AND(Tracking[[#This Row],[Type]]="Income",shift_late_income_status="Active",DAY(Tracking[[#This Row],[Date]])&gt;=shift_late_income_starting_day),DATE(YEAR(Tracking[[#This Row],[Date]]),MONTH(Tracking[[#This Row],[Date]])+1,1),Tracking[[#This Row],[Date]])</f>
        <v>46067</v>
      </c>
    </row>
    <row r="544" spans="3:9" x14ac:dyDescent="0.3">
      <c r="C544" s="41">
        <v>46066</v>
      </c>
      <c r="D544" s="39" t="s">
        <v>9</v>
      </c>
      <c r="E544" s="39" t="s">
        <v>10</v>
      </c>
      <c r="F544" s="139">
        <v>8.2200000000000006</v>
      </c>
      <c r="G544" s="40" t="s">
        <v>321</v>
      </c>
      <c r="H544" s="43" cm="1">
        <f t="array" ref="H544">SUMPRODUCT(Tracking[Amount],--(Tracking[Date]&lt;=Tracking[[#This Row],[Date]]),(Tracking[Type]&lt;&gt;"Income")*(-1)+(Tracking[Type]="Income"))</f>
        <v>-2151.2099999999982</v>
      </c>
      <c r="I544" s="51">
        <f>IF(AND(Tracking[[#This Row],[Type]]="Income",shift_late_income_status="Active",DAY(Tracking[[#This Row],[Date]])&gt;=shift_late_income_starting_day),DATE(YEAR(Tracking[[#This Row],[Date]]),MONTH(Tracking[[#This Row],[Date]])+1,1),Tracking[[#This Row],[Date]])</f>
        <v>46066</v>
      </c>
    </row>
    <row r="545" spans="3:9" x14ac:dyDescent="0.3">
      <c r="C545" s="41">
        <v>46071</v>
      </c>
      <c r="D545" s="39" t="s">
        <v>9</v>
      </c>
      <c r="E545" s="39" t="s">
        <v>111</v>
      </c>
      <c r="F545" s="139">
        <v>10</v>
      </c>
      <c r="G545" s="40" t="s">
        <v>322</v>
      </c>
      <c r="H545" s="43" cm="1">
        <f t="array" ref="H545">SUMPRODUCT(Tracking[Amount],--(Tracking[Date]&lt;=Tracking[[#This Row],[Date]]),(Tracking[Type]&lt;&gt;"Income")*(-1)+(Tracking[Type]="Income"))</f>
        <v>-2207.6099999999983</v>
      </c>
      <c r="I545" s="51">
        <f>IF(AND(Tracking[[#This Row],[Type]]="Income",shift_late_income_status="Active",DAY(Tracking[[#This Row],[Date]])&gt;=shift_late_income_starting_day),DATE(YEAR(Tracking[[#This Row],[Date]]),MONTH(Tracking[[#This Row],[Date]])+1,1),Tracking[[#This Row],[Date]])</f>
        <v>46071</v>
      </c>
    </row>
    <row r="546" spans="3:9" x14ac:dyDescent="0.3">
      <c r="C546" s="41">
        <v>46072</v>
      </c>
      <c r="D546" s="39" t="s">
        <v>9</v>
      </c>
      <c r="E546" s="39" t="s">
        <v>111</v>
      </c>
      <c r="F546" s="139">
        <v>61.69</v>
      </c>
      <c r="G546" s="40" t="s">
        <v>323</v>
      </c>
      <c r="H546" s="43" cm="1">
        <f t="array" ref="H546">SUMPRODUCT(Tracking[Amount],--(Tracking[Date]&lt;=Tracking[[#This Row],[Date]]),(Tracking[Type]&lt;&gt;"Income")*(-1)+(Tracking[Type]="Income"))</f>
        <v>-2269.2999999999984</v>
      </c>
      <c r="I546" s="51">
        <f>IF(AND(Tracking[[#This Row],[Type]]="Income",shift_late_income_status="Active",DAY(Tracking[[#This Row],[Date]])&gt;=shift_late_income_starting_day),DATE(YEAR(Tracking[[#This Row],[Date]]),MONTH(Tracking[[#This Row],[Date]])+1,1),Tracking[[#This Row],[Date]])</f>
        <v>46072</v>
      </c>
    </row>
    <row r="547" spans="3:9" x14ac:dyDescent="0.3">
      <c r="C547" s="41">
        <v>46073</v>
      </c>
      <c r="D547" s="39" t="s">
        <v>9</v>
      </c>
      <c r="E547" s="39" t="s">
        <v>10</v>
      </c>
      <c r="F547" s="139">
        <v>10.06</v>
      </c>
      <c r="G547" s="40" t="s">
        <v>271</v>
      </c>
      <c r="H547" s="43" cm="1">
        <f t="array" ref="H547">SUMPRODUCT(Tracking[Amount],--(Tracking[Date]&lt;=Tracking[[#This Row],[Date]]),(Tracking[Type]&lt;&gt;"Income")*(-1)+(Tracking[Type]="Income"))</f>
        <v>-2279.3599999999983</v>
      </c>
      <c r="I547" s="51">
        <f>IF(AND(Tracking[[#This Row],[Type]]="Income",shift_late_income_status="Active",DAY(Tracking[[#This Row],[Date]])&gt;=shift_late_income_starting_day),DATE(YEAR(Tracking[[#This Row],[Date]]),MONTH(Tracking[[#This Row],[Date]])+1,1),Tracking[[#This Row],[Date]])</f>
        <v>46073</v>
      </c>
    </row>
    <row r="548" spans="3:9" x14ac:dyDescent="0.3">
      <c r="C548" s="41">
        <v>46074</v>
      </c>
      <c r="D548" s="39" t="s">
        <v>14</v>
      </c>
      <c r="E548" s="39" t="s">
        <v>110</v>
      </c>
      <c r="F548" s="139">
        <v>550</v>
      </c>
      <c r="G548" s="40"/>
      <c r="H548" s="43" cm="1">
        <f t="array" ref="H548">SUMPRODUCT(Tracking[Amount],--(Tracking[Date]&lt;=Tracking[[#This Row],[Date]]),(Tracking[Type]&lt;&gt;"Income")*(-1)+(Tracking[Type]="Income"))</f>
        <v>-1951.5799999999983</v>
      </c>
      <c r="I548" s="51">
        <f>IF(AND(Tracking[[#This Row],[Type]]="Income",shift_late_income_status="Active",DAY(Tracking[[#This Row],[Date]])&gt;=shift_late_income_starting_day),DATE(YEAR(Tracking[[#This Row],[Date]]),MONTH(Tracking[[#This Row],[Date]])+1,1),Tracking[[#This Row],[Date]])</f>
        <v>46074</v>
      </c>
    </row>
    <row r="549" spans="3:9" x14ac:dyDescent="0.3">
      <c r="C549" s="41">
        <v>46074</v>
      </c>
      <c r="D549" s="39" t="s">
        <v>5</v>
      </c>
      <c r="E549" s="39" t="s">
        <v>103</v>
      </c>
      <c r="F549" s="139">
        <v>877.78</v>
      </c>
      <c r="G549" s="40"/>
      <c r="H549" s="43" cm="1">
        <f t="array" ref="H549">SUMPRODUCT(Tracking[Amount],--(Tracking[Date]&lt;=Tracking[[#This Row],[Date]]),(Tracking[Type]&lt;&gt;"Income")*(-1)+(Tracking[Type]="Income"))</f>
        <v>-1951.5799999999983</v>
      </c>
      <c r="I549" s="51">
        <f>IF(AND(Tracking[[#This Row],[Type]]="Income",shift_late_income_status="Active",DAY(Tracking[[#This Row],[Date]])&gt;=shift_late_income_starting_day),DATE(YEAR(Tracking[[#This Row],[Date]]),MONTH(Tracking[[#This Row],[Date]])+1,1),Tracking[[#This Row],[Date]])</f>
        <v>46074</v>
      </c>
    </row>
    <row r="550" spans="3:9" x14ac:dyDescent="0.3">
      <c r="C550" s="41">
        <v>46074</v>
      </c>
      <c r="D550" s="39" t="s">
        <v>5</v>
      </c>
      <c r="E550" s="39" t="s">
        <v>106</v>
      </c>
      <c r="F550" s="139">
        <v>200</v>
      </c>
      <c r="G550" s="40"/>
      <c r="H550" s="43" cm="1">
        <f t="array" ref="H550">SUMPRODUCT(Tracking[Amount],--(Tracking[Date]&lt;=Tracking[[#This Row],[Date]]),(Tracking[Type]&lt;&gt;"Income")*(-1)+(Tracking[Type]="Income"))</f>
        <v>-1951.5799999999983</v>
      </c>
      <c r="I550" s="51">
        <f>IF(AND(Tracking[[#This Row],[Type]]="Income",shift_late_income_status="Active",DAY(Tracking[[#This Row],[Date]])&gt;=shift_late_income_starting_day),DATE(YEAR(Tracking[[#This Row],[Date]]),MONTH(Tracking[[#This Row],[Date]])+1,1),Tracking[[#This Row],[Date]])</f>
        <v>46074</v>
      </c>
    </row>
    <row r="551" spans="3:9" x14ac:dyDescent="0.3">
      <c r="C551" s="65">
        <v>46074</v>
      </c>
      <c r="D551" s="66" t="s">
        <v>5</v>
      </c>
      <c r="E551" s="66" t="s">
        <v>106</v>
      </c>
      <c r="F551" s="139">
        <v>200</v>
      </c>
      <c r="G551" s="40"/>
      <c r="H551" s="43" cm="1">
        <f t="array" ref="H551">SUMPRODUCT(Tracking[Amount],--(Tracking[Date]&lt;=Tracking[[#This Row],[Date]]),(Tracking[Type]&lt;&gt;"Income")*(-1)+(Tracking[Type]="Income"))</f>
        <v>-1951.5799999999983</v>
      </c>
      <c r="I551" s="51">
        <f>IF(AND(Tracking[[#This Row],[Type]]="Income",shift_late_income_status="Active",DAY(Tracking[[#This Row],[Date]])&gt;=shift_late_income_starting_day),DATE(YEAR(Tracking[[#This Row],[Date]]),MONTH(Tracking[[#This Row],[Date]])+1,1),Tracking[[#This Row],[Date]])</f>
        <v>46074</v>
      </c>
    </row>
    <row r="552" spans="3:9" x14ac:dyDescent="0.3">
      <c r="C552" s="41">
        <v>46074</v>
      </c>
      <c r="D552" s="39" t="s">
        <v>14</v>
      </c>
      <c r="E552" s="39" t="s">
        <v>324</v>
      </c>
      <c r="F552" s="139">
        <v>200</v>
      </c>
      <c r="G552" s="40"/>
      <c r="H552" s="43" cm="1">
        <f t="array" ref="H552">SUMPRODUCT(Tracking[Amount],--(Tracking[Date]&lt;=Tracking[[#This Row],[Date]]),(Tracking[Type]&lt;&gt;"Income")*(-1)+(Tracking[Type]="Income"))</f>
        <v>-1951.5799999999983</v>
      </c>
      <c r="I552" s="51">
        <f>IF(AND(Tracking[[#This Row],[Type]]="Income",shift_late_income_status="Active",DAY(Tracking[[#This Row],[Date]])&gt;=shift_late_income_starting_day),DATE(YEAR(Tracking[[#This Row],[Date]]),MONTH(Tracking[[#This Row],[Date]])+1,1),Tracking[[#This Row],[Date]])</f>
        <v>46074</v>
      </c>
    </row>
    <row r="553" spans="3:9" x14ac:dyDescent="0.3">
      <c r="C553" s="41">
        <v>46074</v>
      </c>
      <c r="D553" s="39" t="s">
        <v>14</v>
      </c>
      <c r="E553" s="39" t="s">
        <v>157</v>
      </c>
      <c r="F553" s="139">
        <v>200</v>
      </c>
      <c r="G553" s="40"/>
      <c r="H553" s="43" cm="1">
        <f t="array" ref="H553">SUMPRODUCT(Tracking[Amount],--(Tracking[Date]&lt;=Tracking[[#This Row],[Date]]),(Tracking[Type]&lt;&gt;"Income")*(-1)+(Tracking[Type]="Income"))</f>
        <v>-1951.5799999999983</v>
      </c>
      <c r="I553" s="51">
        <f>IF(AND(Tracking[[#This Row],[Type]]="Income",shift_late_income_status="Active",DAY(Tracking[[#This Row],[Date]])&gt;=shift_late_income_starting_day),DATE(YEAR(Tracking[[#This Row],[Date]]),MONTH(Tracking[[#This Row],[Date]])+1,1),Tracking[[#This Row],[Date]])</f>
        <v>46074</v>
      </c>
    </row>
    <row r="554" spans="3:9" x14ac:dyDescent="0.3">
      <c r="C554" s="41">
        <v>46076</v>
      </c>
      <c r="D554" s="39" t="s">
        <v>9</v>
      </c>
      <c r="E554" s="39" t="s">
        <v>10</v>
      </c>
      <c r="F554" s="139">
        <v>20.2</v>
      </c>
      <c r="G554" s="40" t="s">
        <v>325</v>
      </c>
      <c r="H554" s="43" cm="1">
        <f t="array" ref="H554">SUMPRODUCT(Tracking[Amount],--(Tracking[Date]&lt;=Tracking[[#This Row],[Date]]),(Tracking[Type]&lt;&gt;"Income")*(-1)+(Tracking[Type]="Income"))</f>
        <v>-1882.6499999999983</v>
      </c>
      <c r="I554" s="51">
        <f>IF(AND(Tracking[[#This Row],[Type]]="Income",shift_late_income_status="Active",DAY(Tracking[[#This Row],[Date]])&gt;=shift_late_income_starting_day),DATE(YEAR(Tracking[[#This Row],[Date]]),MONTH(Tracking[[#This Row],[Date]])+1,1),Tracking[[#This Row],[Date]])</f>
        <v>46076</v>
      </c>
    </row>
    <row r="555" spans="3:9" x14ac:dyDescent="0.3">
      <c r="C555" s="41">
        <v>46077</v>
      </c>
      <c r="D555" s="39" t="s">
        <v>9</v>
      </c>
      <c r="E555" s="39" t="s">
        <v>10</v>
      </c>
      <c r="F555" s="139">
        <v>12.87</v>
      </c>
      <c r="G555" s="40" t="s">
        <v>173</v>
      </c>
      <c r="H555" s="43" cm="1">
        <f t="array" ref="H555">SUMPRODUCT(Tracking[Amount],--(Tracking[Date]&lt;=Tracking[[#This Row],[Date]]),(Tracking[Type]&lt;&gt;"Income")*(-1)+(Tracking[Type]="Income"))</f>
        <v>-1921.8799999999981</v>
      </c>
      <c r="I555" s="51">
        <f>IF(AND(Tracking[[#This Row],[Type]]="Income",shift_late_income_status="Active",DAY(Tracking[[#This Row],[Date]])&gt;=shift_late_income_starting_day),DATE(YEAR(Tracking[[#This Row],[Date]]),MONTH(Tracking[[#This Row],[Date]])+1,1),Tracking[[#This Row],[Date]])</f>
        <v>46077</v>
      </c>
    </row>
    <row r="556" spans="3:9" x14ac:dyDescent="0.3">
      <c r="C556" s="41">
        <v>46077</v>
      </c>
      <c r="D556" s="39" t="s">
        <v>9</v>
      </c>
      <c r="E556" s="39" t="s">
        <v>10</v>
      </c>
      <c r="F556" s="139">
        <v>26.36</v>
      </c>
      <c r="G556" s="40" t="s">
        <v>304</v>
      </c>
      <c r="H556" s="43" cm="1">
        <f t="array" ref="H556">SUMPRODUCT(Tracking[Amount],--(Tracking[Date]&lt;=Tracking[[#This Row],[Date]]),(Tracking[Type]&lt;&gt;"Income")*(-1)+(Tracking[Type]="Income"))</f>
        <v>-1921.8799999999981</v>
      </c>
      <c r="I556" s="51">
        <f>IF(AND(Tracking[[#This Row],[Type]]="Income",shift_late_income_status="Active",DAY(Tracking[[#This Row],[Date]])&gt;=shift_late_income_starting_day),DATE(YEAR(Tracking[[#This Row],[Date]]),MONTH(Tracking[[#This Row],[Date]])+1,1),Tracking[[#This Row],[Date]])</f>
        <v>46077</v>
      </c>
    </row>
    <row r="557" spans="3:9" x14ac:dyDescent="0.3">
      <c r="C557" s="41">
        <v>46076</v>
      </c>
      <c r="D557" s="39" t="s">
        <v>9</v>
      </c>
      <c r="E557" s="39" t="s">
        <v>10</v>
      </c>
      <c r="F557" s="139">
        <v>15.87</v>
      </c>
      <c r="G557" s="40" t="s">
        <v>219</v>
      </c>
      <c r="H557" s="43" cm="1">
        <f t="array" ref="H557">SUMPRODUCT(Tracking[Amount],--(Tracking[Date]&lt;=Tracking[[#This Row],[Date]]),(Tracking[Type]&lt;&gt;"Income")*(-1)+(Tracking[Type]="Income"))</f>
        <v>-1882.6499999999983</v>
      </c>
      <c r="I557" s="51">
        <f>IF(AND(Tracking[[#This Row],[Type]]="Income",shift_late_income_status="Active",DAY(Tracking[[#This Row],[Date]])&gt;=shift_late_income_starting_day),DATE(YEAR(Tracking[[#This Row],[Date]]),MONTH(Tracking[[#This Row],[Date]])+1,1),Tracking[[#This Row],[Date]])</f>
        <v>46076</v>
      </c>
    </row>
    <row r="558" spans="3:9" x14ac:dyDescent="0.3">
      <c r="C558" s="41">
        <v>46076</v>
      </c>
      <c r="D558" s="39" t="s">
        <v>5</v>
      </c>
      <c r="E558" s="39" t="s">
        <v>105</v>
      </c>
      <c r="F558" s="139">
        <v>105</v>
      </c>
      <c r="G558" s="40" t="s">
        <v>280</v>
      </c>
      <c r="H558" s="43" cm="1">
        <f t="array" ref="H558">SUMPRODUCT(Tracking[Amount],--(Tracking[Date]&lt;=Tracking[[#This Row],[Date]]),(Tracking[Type]&lt;&gt;"Income")*(-1)+(Tracking[Type]="Income"))</f>
        <v>-1882.6499999999983</v>
      </c>
      <c r="I558" s="51">
        <f>IF(AND(Tracking[[#This Row],[Type]]="Income",shift_late_income_status="Active",DAY(Tracking[[#This Row],[Date]])&gt;=shift_late_income_starting_day),DATE(YEAR(Tracking[[#This Row],[Date]]),MONTH(Tracking[[#This Row],[Date]])+1,1),Tracking[[#This Row],[Date]])</f>
        <v>46076</v>
      </c>
    </row>
    <row r="559" spans="3:9" x14ac:dyDescent="0.3">
      <c r="C559" s="41">
        <v>46080</v>
      </c>
      <c r="D559" s="39" t="s">
        <v>9</v>
      </c>
      <c r="E559" s="39" t="s">
        <v>10</v>
      </c>
      <c r="F559" s="139">
        <v>28.24</v>
      </c>
      <c r="G559" s="40" t="s">
        <v>329</v>
      </c>
      <c r="H559" s="43" cm="1">
        <f t="array" ref="H559">SUMPRODUCT(Tracking[Amount],--(Tracking[Date]&lt;=Tracking[[#This Row],[Date]]),(Tracking[Type]&lt;&gt;"Income")*(-1)+(Tracking[Type]="Income"))</f>
        <v>-1995.7199999999982</v>
      </c>
      <c r="I559" s="51">
        <f>IF(AND(Tracking[[#This Row],[Type]]="Income",shift_late_income_status="Active",DAY(Tracking[[#This Row],[Date]])&gt;=shift_late_income_starting_day),DATE(YEAR(Tracking[[#This Row],[Date]]),MONTH(Tracking[[#This Row],[Date]])+1,1),Tracking[[#This Row],[Date]])</f>
        <v>46080</v>
      </c>
    </row>
    <row r="560" spans="3:9" x14ac:dyDescent="0.3">
      <c r="C560" s="41">
        <v>46079</v>
      </c>
      <c r="D560" s="39" t="s">
        <v>9</v>
      </c>
      <c r="E560" s="39" t="s">
        <v>10</v>
      </c>
      <c r="F560" s="139">
        <v>19.7</v>
      </c>
      <c r="G560" s="40" t="s">
        <v>330</v>
      </c>
      <c r="H560" s="43" cm="1">
        <f t="array" ref="H560">SUMPRODUCT(Tracking[Amount],--(Tracking[Date]&lt;=Tracking[[#This Row],[Date]]),(Tracking[Type]&lt;&gt;"Income")*(-1)+(Tracking[Type]="Income"))</f>
        <v>-1941.5799999999981</v>
      </c>
      <c r="I560" s="51">
        <f>IF(AND(Tracking[[#This Row],[Type]]="Income",shift_late_income_status="Active",DAY(Tracking[[#This Row],[Date]])&gt;=shift_late_income_starting_day),DATE(YEAR(Tracking[[#This Row],[Date]]),MONTH(Tracking[[#This Row],[Date]])+1,1),Tracking[[#This Row],[Date]])</f>
        <v>46079</v>
      </c>
    </row>
    <row r="561" spans="3:9" x14ac:dyDescent="0.3">
      <c r="C561" s="41">
        <v>46080</v>
      </c>
      <c r="D561" s="39" t="s">
        <v>9</v>
      </c>
      <c r="E561" s="39" t="s">
        <v>10</v>
      </c>
      <c r="F561" s="139">
        <v>4.17</v>
      </c>
      <c r="G561" s="40" t="s">
        <v>271</v>
      </c>
      <c r="H561" s="43" cm="1">
        <f t="array" ref="H561">SUMPRODUCT(Tracking[Amount],--(Tracking[Date]&lt;=Tracking[[#This Row],[Date]]),(Tracking[Type]&lt;&gt;"Income")*(-1)+(Tracking[Type]="Income"))</f>
        <v>-1995.7199999999982</v>
      </c>
      <c r="I561" s="51">
        <f>IF(AND(Tracking[[#This Row],[Type]]="Income",shift_late_income_status="Active",DAY(Tracking[[#This Row],[Date]])&gt;=shift_late_income_starting_day),DATE(YEAR(Tracking[[#This Row],[Date]]),MONTH(Tracking[[#This Row],[Date]])+1,1),Tracking[[#This Row],[Date]])</f>
        <v>46080</v>
      </c>
    </row>
    <row r="562" spans="3:9" x14ac:dyDescent="0.3">
      <c r="C562" s="41">
        <v>46081</v>
      </c>
      <c r="D562" s="39" t="s">
        <v>9</v>
      </c>
      <c r="E562" s="39" t="s">
        <v>10</v>
      </c>
      <c r="F562" s="139">
        <v>13.64</v>
      </c>
      <c r="G562" s="40" t="s">
        <v>331</v>
      </c>
      <c r="H562" s="43" cm="1">
        <f t="array" ref="H562">SUMPRODUCT(Tracking[Amount],--(Tracking[Date]&lt;=Tracking[[#This Row],[Date]]),(Tracking[Type]&lt;&gt;"Income")*(-1)+(Tracking[Type]="Income"))</f>
        <v>-2020.3899999999983</v>
      </c>
      <c r="I562" s="51">
        <f>IF(AND(Tracking[[#This Row],[Type]]="Income",shift_late_income_status="Active",DAY(Tracking[[#This Row],[Date]])&gt;=shift_late_income_starting_day),DATE(YEAR(Tracking[[#This Row],[Date]]),MONTH(Tracking[[#This Row],[Date]])+1,1),Tracking[[#This Row],[Date]])</f>
        <v>46081</v>
      </c>
    </row>
    <row r="563" spans="3:9" x14ac:dyDescent="0.3">
      <c r="C563" s="41">
        <v>46081</v>
      </c>
      <c r="D563" s="39" t="s">
        <v>9</v>
      </c>
      <c r="E563" s="39" t="s">
        <v>10</v>
      </c>
      <c r="F563" s="139">
        <v>11.03</v>
      </c>
      <c r="G563" s="40" t="s">
        <v>321</v>
      </c>
      <c r="H563" s="43" cm="1">
        <f t="array" ref="H563">SUMPRODUCT(Tracking[Amount],--(Tracking[Date]&lt;=Tracking[[#This Row],[Date]]),(Tracking[Type]&lt;&gt;"Income")*(-1)+(Tracking[Type]="Income"))</f>
        <v>-2020.3899999999983</v>
      </c>
      <c r="I563" s="51">
        <f>IF(AND(Tracking[[#This Row],[Type]]="Income",shift_late_income_status="Active",DAY(Tracking[[#This Row],[Date]])&gt;=shift_late_income_starting_day),DATE(YEAR(Tracking[[#This Row],[Date]]),MONTH(Tracking[[#This Row],[Date]])+1,1),Tracking[[#This Row],[Date]])</f>
        <v>46081</v>
      </c>
    </row>
    <row r="564" spans="3:9" x14ac:dyDescent="0.3">
      <c r="C564" s="41">
        <v>46080</v>
      </c>
      <c r="D564" s="39" t="s">
        <v>9</v>
      </c>
      <c r="E564" s="39" t="s">
        <v>10</v>
      </c>
      <c r="F564" s="139">
        <v>21.73</v>
      </c>
      <c r="G564" s="40" t="s">
        <v>248</v>
      </c>
      <c r="H564" s="43" cm="1">
        <f t="array" ref="H564">SUMPRODUCT(Tracking[Amount],--(Tracking[Date]&lt;=Tracking[[#This Row],[Date]]),(Tracking[Type]&lt;&gt;"Income")*(-1)+(Tracking[Type]="Income"))</f>
        <v>-1995.7199999999982</v>
      </c>
      <c r="I564" s="51">
        <f>IF(AND(Tracking[[#This Row],[Type]]="Income",shift_late_income_status="Active",DAY(Tracking[[#This Row],[Date]])&gt;=shift_late_income_starting_day),DATE(YEAR(Tracking[[#This Row],[Date]]),MONTH(Tracking[[#This Row],[Date]])+1,1),Tracking[[#This Row],[Date]])</f>
        <v>46080</v>
      </c>
    </row>
    <row r="565" spans="3:9" x14ac:dyDescent="0.3">
      <c r="C565" s="41">
        <v>46083</v>
      </c>
      <c r="D565" s="39" t="s">
        <v>9</v>
      </c>
      <c r="E565" s="39" t="s">
        <v>318</v>
      </c>
      <c r="F565" s="139">
        <v>17</v>
      </c>
      <c r="G565" s="40" t="s">
        <v>332</v>
      </c>
      <c r="H565" s="43" cm="1">
        <f t="array" ref="H565">SUMPRODUCT(Tracking[Amount],--(Tracking[Date]&lt;=Tracking[[#This Row],[Date]]),(Tracking[Type]&lt;&gt;"Income")*(-1)+(Tracking[Type]="Income"))</f>
        <v>-2150.8799999999983</v>
      </c>
      <c r="I565" s="51">
        <f>IF(AND(Tracking[[#This Row],[Type]]="Income",shift_late_income_status="Active",DAY(Tracking[[#This Row],[Date]])&gt;=shift_late_income_starting_day),DATE(YEAR(Tracking[[#This Row],[Date]]),MONTH(Tracking[[#This Row],[Date]])+1,1),Tracking[[#This Row],[Date]])</f>
        <v>46083</v>
      </c>
    </row>
    <row r="566" spans="3:9" x14ac:dyDescent="0.3">
      <c r="C566" s="41">
        <v>46082</v>
      </c>
      <c r="D566" s="39" t="s">
        <v>9</v>
      </c>
      <c r="E566" s="39" t="s">
        <v>12</v>
      </c>
      <c r="F566" s="139">
        <v>16.18</v>
      </c>
      <c r="G566" s="40" t="s">
        <v>289</v>
      </c>
      <c r="H566" s="43" cm="1">
        <f t="array" ref="H566">SUMPRODUCT(Tracking[Amount],--(Tracking[Date]&lt;=Tracking[[#This Row],[Date]]),(Tracking[Type]&lt;&gt;"Income")*(-1)+(Tracking[Type]="Income"))</f>
        <v>-2133.8799999999983</v>
      </c>
      <c r="I566" s="51">
        <f>IF(AND(Tracking[[#This Row],[Type]]="Income",shift_late_income_status="Active",DAY(Tracking[[#This Row],[Date]])&gt;=shift_late_income_starting_day),DATE(YEAR(Tracking[[#This Row],[Date]]),MONTH(Tracking[[#This Row],[Date]])+1,1),Tracking[[#This Row],[Date]])</f>
        <v>46082</v>
      </c>
    </row>
    <row r="567" spans="3:9" x14ac:dyDescent="0.3">
      <c r="C567" s="41">
        <v>46082</v>
      </c>
      <c r="D567" s="39" t="s">
        <v>9</v>
      </c>
      <c r="E567" s="39" t="s">
        <v>10</v>
      </c>
      <c r="F567" s="139">
        <v>23.49</v>
      </c>
      <c r="G567" s="40" t="s">
        <v>177</v>
      </c>
      <c r="H567" s="43" cm="1">
        <f t="array" ref="H567">SUMPRODUCT(Tracking[Amount],--(Tracking[Date]&lt;=Tracking[[#This Row],[Date]]),(Tracking[Type]&lt;&gt;"Income")*(-1)+(Tracking[Type]="Income"))</f>
        <v>-2133.8799999999983</v>
      </c>
      <c r="I567" s="51">
        <f>IF(AND(Tracking[[#This Row],[Type]]="Income",shift_late_income_status="Active",DAY(Tracking[[#This Row],[Date]])&gt;=shift_late_income_starting_day),DATE(YEAR(Tracking[[#This Row],[Date]]),MONTH(Tracking[[#This Row],[Date]])+1,1),Tracking[[#This Row],[Date]])</f>
        <v>46082</v>
      </c>
    </row>
    <row r="568" spans="3:9" x14ac:dyDescent="0.3">
      <c r="C568" s="41">
        <v>46082</v>
      </c>
      <c r="D568" s="39" t="s">
        <v>9</v>
      </c>
      <c r="E568" s="39" t="s">
        <v>10</v>
      </c>
      <c r="F568" s="139">
        <v>57.94</v>
      </c>
      <c r="G568" s="40" t="s">
        <v>250</v>
      </c>
      <c r="H568" s="43" cm="1">
        <f t="array" ref="H568">SUMPRODUCT(Tracking[Amount],--(Tracking[Date]&lt;=Tracking[[#This Row],[Date]]),(Tracking[Type]&lt;&gt;"Income")*(-1)+(Tracking[Type]="Income"))</f>
        <v>-2133.8799999999983</v>
      </c>
      <c r="I568" s="51">
        <f>IF(AND(Tracking[[#This Row],[Type]]="Income",shift_late_income_status="Active",DAY(Tracking[[#This Row],[Date]])&gt;=shift_late_income_starting_day),DATE(YEAR(Tracking[[#This Row],[Date]]),MONTH(Tracking[[#This Row],[Date]])+1,1),Tracking[[#This Row],[Date]])</f>
        <v>46082</v>
      </c>
    </row>
    <row r="569" spans="3:9" x14ac:dyDescent="0.3">
      <c r="C569" s="41">
        <v>46082</v>
      </c>
      <c r="D569" s="39" t="s">
        <v>9</v>
      </c>
      <c r="E569" s="39" t="s">
        <v>10</v>
      </c>
      <c r="F569" s="139">
        <f>14.27+1.61</f>
        <v>15.879999999999999</v>
      </c>
      <c r="G569" s="40" t="s">
        <v>314</v>
      </c>
      <c r="H569" s="43" cm="1">
        <f t="array" ref="H569">SUMPRODUCT(Tracking[Amount],--(Tracking[Date]&lt;=Tracking[[#This Row],[Date]]),(Tracking[Type]&lt;&gt;"Income")*(-1)+(Tracking[Type]="Income"))</f>
        <v>-2133.8799999999983</v>
      </c>
      <c r="I569" s="51">
        <f>IF(AND(Tracking[[#This Row],[Type]]="Income",shift_late_income_status="Active",DAY(Tracking[[#This Row],[Date]])&gt;=shift_late_income_starting_day),DATE(YEAR(Tracking[[#This Row],[Date]]),MONTH(Tracking[[#This Row],[Date]])+1,1),Tracking[[#This Row],[Date]])</f>
        <v>46082</v>
      </c>
    </row>
    <row r="570" spans="3:9" x14ac:dyDescent="0.3">
      <c r="C570" s="41">
        <v>46068</v>
      </c>
      <c r="D570" s="39" t="s">
        <v>5</v>
      </c>
      <c r="E570" s="39" t="s">
        <v>104</v>
      </c>
      <c r="F570" s="139">
        <v>9.0299999999999994</v>
      </c>
      <c r="G570" s="40"/>
      <c r="H570" s="43" cm="1">
        <f t="array" ref="H570">SUMPRODUCT(Tracking[Amount],--(Tracking[Date]&lt;=Tracking[[#This Row],[Date]]),(Tracking[Type]&lt;&gt;"Income")*(-1)+(Tracking[Type]="Income"))</f>
        <v>-2197.6099999999983</v>
      </c>
      <c r="I570" s="51">
        <f>IF(AND(Tracking[[#This Row],[Type]]="Income",shift_late_income_status="Active",DAY(Tracking[[#This Row],[Date]])&gt;=shift_late_income_starting_day),DATE(YEAR(Tracking[[#This Row],[Date]]),MONTH(Tracking[[#This Row],[Date]])+1,1),Tracking[[#This Row],[Date]])</f>
        <v>46068</v>
      </c>
    </row>
    <row r="571" spans="3:9" x14ac:dyDescent="0.3">
      <c r="C571" s="41">
        <v>46068</v>
      </c>
      <c r="D571" s="39" t="s">
        <v>14</v>
      </c>
      <c r="E571" s="39" t="s">
        <v>110</v>
      </c>
      <c r="F571" s="139">
        <v>9.0299999999999994</v>
      </c>
      <c r="G571" s="40"/>
      <c r="H571" s="43" cm="1">
        <f t="array" ref="H571">SUMPRODUCT(Tracking[Amount],--(Tracking[Date]&lt;=Tracking[[#This Row],[Date]]),(Tracking[Type]&lt;&gt;"Income")*(-1)+(Tracking[Type]="Income"))</f>
        <v>-2197.6099999999983</v>
      </c>
      <c r="I571" s="51">
        <f>IF(AND(Tracking[[#This Row],[Type]]="Income",shift_late_income_status="Active",DAY(Tracking[[#This Row],[Date]])&gt;=shift_late_income_starting_day),DATE(YEAR(Tracking[[#This Row],[Date]]),MONTH(Tracking[[#This Row],[Date]])+1,1),Tracking[[#This Row],[Date]])</f>
        <v>46068</v>
      </c>
    </row>
    <row r="572" spans="3:9" x14ac:dyDescent="0.3">
      <c r="C572" s="41">
        <v>46085</v>
      </c>
      <c r="D572" s="39" t="s">
        <v>9</v>
      </c>
      <c r="E572" s="39" t="s">
        <v>12</v>
      </c>
      <c r="F572" s="139">
        <v>2.13</v>
      </c>
      <c r="G572" s="40" t="s">
        <v>333</v>
      </c>
      <c r="H572" s="43" cm="1">
        <f t="array" ref="H572">SUMPRODUCT(Tracking[Amount],--(Tracking[Date]&lt;=Tracking[[#This Row],[Date]]),(Tracking[Type]&lt;&gt;"Income")*(-1)+(Tracking[Type]="Income"))</f>
        <v>-1725.0099999999984</v>
      </c>
      <c r="I572" s="51">
        <f>IF(AND(Tracking[[#This Row],[Type]]="Income",shift_late_income_status="Active",DAY(Tracking[[#This Row],[Date]])&gt;=shift_late_income_starting_day),DATE(YEAR(Tracking[[#This Row],[Date]]),MONTH(Tracking[[#This Row],[Date]])+1,1),Tracking[[#This Row],[Date]])</f>
        <v>46085</v>
      </c>
    </row>
    <row r="573" spans="3:9" x14ac:dyDescent="0.3">
      <c r="C573" s="41">
        <v>46085</v>
      </c>
      <c r="D573" s="39" t="s">
        <v>5</v>
      </c>
      <c r="E573" s="39" t="s">
        <v>334</v>
      </c>
      <c r="F573" s="139">
        <v>428</v>
      </c>
      <c r="G573" s="40"/>
      <c r="H573" s="43" cm="1">
        <f t="array" ref="H573">SUMPRODUCT(Tracking[Amount],--(Tracking[Date]&lt;=Tracking[[#This Row],[Date]]),(Tracking[Type]&lt;&gt;"Income")*(-1)+(Tracking[Type]="Income"))</f>
        <v>-1725.0099999999984</v>
      </c>
      <c r="I573" s="51">
        <f>IF(AND(Tracking[[#This Row],[Type]]="Income",shift_late_income_status="Active",DAY(Tracking[[#This Row],[Date]])&gt;=shift_late_income_starting_day),DATE(YEAR(Tracking[[#This Row],[Date]]),MONTH(Tracking[[#This Row],[Date]])+1,1),Tracking[[#This Row],[Date]])</f>
        <v>46085</v>
      </c>
    </row>
    <row r="574" spans="3:9" x14ac:dyDescent="0.3">
      <c r="C574" s="41">
        <v>46086</v>
      </c>
      <c r="D574" s="39" t="s">
        <v>9</v>
      </c>
      <c r="E574" s="39" t="s">
        <v>10</v>
      </c>
      <c r="F574" s="139">
        <v>15</v>
      </c>
      <c r="G574" s="40" t="s">
        <v>221</v>
      </c>
      <c r="H574" s="43" cm="1">
        <f t="array" ref="H574">SUMPRODUCT(Tracking[Amount],--(Tracking[Date]&lt;=Tracking[[#This Row],[Date]]),(Tracking[Type]&lt;&gt;"Income")*(-1)+(Tracking[Type]="Income"))</f>
        <v>-1748.6599999999985</v>
      </c>
      <c r="I574" s="51">
        <f>IF(AND(Tracking[[#This Row],[Type]]="Income",shift_late_income_status="Active",DAY(Tracking[[#This Row],[Date]])&gt;=shift_late_income_starting_day),DATE(YEAR(Tracking[[#This Row],[Date]]),MONTH(Tracking[[#This Row],[Date]])+1,1),Tracking[[#This Row],[Date]])</f>
        <v>46086</v>
      </c>
    </row>
    <row r="575" spans="3:9" x14ac:dyDescent="0.3">
      <c r="C575" s="41">
        <v>46086</v>
      </c>
      <c r="D575" s="39" t="s">
        <v>9</v>
      </c>
      <c r="E575" s="39" t="s">
        <v>108</v>
      </c>
      <c r="F575" s="139">
        <v>8.65</v>
      </c>
      <c r="G575" s="40" t="s">
        <v>335</v>
      </c>
      <c r="H575" s="43" cm="1">
        <f t="array" ref="H575">SUMPRODUCT(Tracking[Amount],--(Tracking[Date]&lt;=Tracking[[#This Row],[Date]]),(Tracking[Type]&lt;&gt;"Income")*(-1)+(Tracking[Type]="Income"))</f>
        <v>-1748.6599999999985</v>
      </c>
      <c r="I575" s="51">
        <f>IF(AND(Tracking[[#This Row],[Type]]="Income",shift_late_income_status="Active",DAY(Tracking[[#This Row],[Date]])&gt;=shift_late_income_starting_day),DATE(YEAR(Tracking[[#This Row],[Date]]),MONTH(Tracking[[#This Row],[Date]])+1,1),Tracking[[#This Row],[Date]])</f>
        <v>46086</v>
      </c>
    </row>
    <row r="576" spans="3:9" x14ac:dyDescent="0.3">
      <c r="C576" s="41">
        <v>46087</v>
      </c>
      <c r="D576" s="39" t="s">
        <v>9</v>
      </c>
      <c r="E576" s="39" t="s">
        <v>108</v>
      </c>
      <c r="F576" s="139">
        <v>21.65</v>
      </c>
      <c r="G576" s="40"/>
      <c r="H576" s="43" cm="1">
        <f t="array" ref="H576">SUMPRODUCT(Tracking[Amount],--(Tracking[Date]&lt;=Tracking[[#This Row],[Date]]),(Tracking[Type]&lt;&gt;"Income")*(-1)+(Tracking[Type]="Income"))</f>
        <v>-1564.7899999999986</v>
      </c>
      <c r="I576" s="51">
        <f>IF(AND(Tracking[[#This Row],[Type]]="Income",shift_late_income_status="Active",DAY(Tracking[[#This Row],[Date]])&gt;=shift_late_income_starting_day),DATE(YEAR(Tracking[[#This Row],[Date]]),MONTH(Tracking[[#This Row],[Date]])+1,1),Tracking[[#This Row],[Date]])</f>
        <v>46087</v>
      </c>
    </row>
    <row r="577" spans="3:9" x14ac:dyDescent="0.3">
      <c r="C577" s="41">
        <v>46087</v>
      </c>
      <c r="D577" s="39" t="s">
        <v>9</v>
      </c>
      <c r="E577" s="39" t="s">
        <v>108</v>
      </c>
      <c r="F577" s="139">
        <v>17.829999999999998</v>
      </c>
      <c r="G577" s="40" t="s">
        <v>113</v>
      </c>
      <c r="H577" s="43" cm="1">
        <f t="array" ref="H577">SUMPRODUCT(Tracking[Amount],--(Tracking[Date]&lt;=Tracking[[#This Row],[Date]]),(Tracking[Type]&lt;&gt;"Income")*(-1)+(Tracking[Type]="Income"))</f>
        <v>-1564.7899999999986</v>
      </c>
      <c r="I577" s="51">
        <f>IF(AND(Tracking[[#This Row],[Type]]="Income",shift_late_income_status="Active",DAY(Tracking[[#This Row],[Date]])&gt;=shift_late_income_starting_day),DATE(YEAR(Tracking[[#This Row],[Date]]),MONTH(Tracking[[#This Row],[Date]])+1,1),Tracking[[#This Row],[Date]])</f>
        <v>46087</v>
      </c>
    </row>
    <row r="578" spans="3:9" x14ac:dyDescent="0.3">
      <c r="C578" s="41">
        <v>46087</v>
      </c>
      <c r="D578" s="39" t="s">
        <v>5</v>
      </c>
      <c r="E578" s="39" t="s">
        <v>103</v>
      </c>
      <c r="F578" s="139">
        <v>912.7</v>
      </c>
      <c r="G578" s="40"/>
      <c r="H578" s="43" cm="1">
        <f t="array" ref="H578">SUMPRODUCT(Tracking[Amount],--(Tracking[Date]&lt;=Tracking[[#This Row],[Date]]),(Tracking[Type]&lt;&gt;"Income")*(-1)+(Tracking[Type]="Income"))</f>
        <v>-1564.7899999999986</v>
      </c>
      <c r="I578" s="51">
        <f>IF(AND(Tracking[[#This Row],[Type]]="Income",shift_late_income_status="Active",DAY(Tracking[[#This Row],[Date]])&gt;=shift_late_income_starting_day),DATE(YEAR(Tracking[[#This Row],[Date]]),MONTH(Tracking[[#This Row],[Date]])+1,1),Tracking[[#This Row],[Date]])</f>
        <v>46087</v>
      </c>
    </row>
    <row r="579" spans="3:9" x14ac:dyDescent="0.3">
      <c r="C579" s="41">
        <v>46087</v>
      </c>
      <c r="D579" s="39" t="s">
        <v>5</v>
      </c>
      <c r="E579" s="39" t="s">
        <v>106</v>
      </c>
      <c r="F579" s="139">
        <v>200</v>
      </c>
      <c r="G579" s="40"/>
      <c r="H579" s="43" cm="1">
        <f t="array" ref="H579">SUMPRODUCT(Tracking[Amount],--(Tracking[Date]&lt;=Tracking[[#This Row],[Date]]),(Tracking[Type]&lt;&gt;"Income")*(-1)+(Tracking[Type]="Income"))</f>
        <v>-1564.7899999999986</v>
      </c>
      <c r="I579" s="51">
        <f>IF(AND(Tracking[[#This Row],[Type]]="Income",shift_late_income_status="Active",DAY(Tracking[[#This Row],[Date]])&gt;=shift_late_income_starting_day),DATE(YEAR(Tracking[[#This Row],[Date]]),MONTH(Tracking[[#This Row],[Date]])+1,1),Tracking[[#This Row],[Date]])</f>
        <v>46087</v>
      </c>
    </row>
    <row r="580" spans="3:9" x14ac:dyDescent="0.3">
      <c r="C580" s="41">
        <v>46087</v>
      </c>
      <c r="D580" s="39" t="s">
        <v>14</v>
      </c>
      <c r="E580" s="39" t="s">
        <v>110</v>
      </c>
      <c r="F580" s="139">
        <v>438</v>
      </c>
      <c r="G580" s="40"/>
      <c r="H580" s="43" cm="1">
        <f t="array" ref="H580">SUMPRODUCT(Tracking[Amount],--(Tracking[Date]&lt;=Tracking[[#This Row],[Date]]),(Tracking[Type]&lt;&gt;"Income")*(-1)+(Tracking[Type]="Income"))</f>
        <v>-1564.7899999999986</v>
      </c>
      <c r="I580" s="51">
        <f>IF(AND(Tracking[[#This Row],[Type]]="Income",shift_late_income_status="Active",DAY(Tracking[[#This Row],[Date]])&gt;=shift_late_income_starting_day),DATE(YEAR(Tracking[[#This Row],[Date]]),MONTH(Tracking[[#This Row],[Date]])+1,1),Tracking[[#This Row],[Date]])</f>
        <v>46087</v>
      </c>
    </row>
    <row r="581" spans="3:9" x14ac:dyDescent="0.3">
      <c r="C581" s="41">
        <v>46087</v>
      </c>
      <c r="D581" s="39" t="s">
        <v>14</v>
      </c>
      <c r="E581" s="39" t="s">
        <v>324</v>
      </c>
      <c r="F581" s="139">
        <v>451.35</v>
      </c>
      <c r="G581" s="40"/>
      <c r="H581" s="43" cm="1">
        <f t="array" ref="H581">SUMPRODUCT(Tracking[Amount],--(Tracking[Date]&lt;=Tracking[[#This Row],[Date]]),(Tracking[Type]&lt;&gt;"Income")*(-1)+(Tracking[Type]="Income"))</f>
        <v>-1564.7899999999986</v>
      </c>
      <c r="I581" s="51">
        <f>IF(AND(Tracking[[#This Row],[Type]]="Income",shift_late_income_status="Active",DAY(Tracking[[#This Row],[Date]])&gt;=shift_late_income_starting_day),DATE(YEAR(Tracking[[#This Row],[Date]]),MONTH(Tracking[[#This Row],[Date]])+1,1),Tracking[[#This Row],[Date]])</f>
        <v>46087</v>
      </c>
    </row>
    <row r="582" spans="3:9" x14ac:dyDescent="0.3">
      <c r="C582" s="41">
        <v>46087</v>
      </c>
      <c r="D582" s="39" t="s">
        <v>5</v>
      </c>
      <c r="E582" s="39" t="s">
        <v>106</v>
      </c>
      <c r="F582" s="139">
        <v>200</v>
      </c>
      <c r="G582" s="40"/>
      <c r="H582" s="43" cm="1">
        <f t="array" ref="H582">SUMPRODUCT(Tracking[Amount],--(Tracking[Date]&lt;=Tracking[[#This Row],[Date]]),(Tracking[Type]&lt;&gt;"Income")*(-1)+(Tracking[Type]="Income"))</f>
        <v>-1564.7899999999986</v>
      </c>
      <c r="I582" s="51">
        <f>IF(AND(Tracking[[#This Row],[Type]]="Income",shift_late_income_status="Active",DAY(Tracking[[#This Row],[Date]])&gt;=shift_late_income_starting_day),DATE(YEAR(Tracking[[#This Row],[Date]]),MONTH(Tracking[[#This Row],[Date]])+1,1),Tracking[[#This Row],[Date]])</f>
        <v>46087</v>
      </c>
    </row>
    <row r="583" spans="3:9" x14ac:dyDescent="0.3">
      <c r="C583" s="41">
        <v>46087</v>
      </c>
      <c r="D583" s="39" t="s">
        <v>14</v>
      </c>
      <c r="E583" s="39" t="s">
        <v>324</v>
      </c>
      <c r="F583" s="139">
        <v>200</v>
      </c>
      <c r="G583" s="40"/>
      <c r="H583" s="43" cm="1">
        <f t="array" ref="H583">SUMPRODUCT(Tracking[Amount],--(Tracking[Date]&lt;=Tracking[[#This Row],[Date]]),(Tracking[Type]&lt;&gt;"Income")*(-1)+(Tracking[Type]="Income"))</f>
        <v>-1564.7899999999986</v>
      </c>
      <c r="I583" s="51">
        <f>IF(AND(Tracking[[#This Row],[Type]]="Income",shift_late_income_status="Active",DAY(Tracking[[#This Row],[Date]])&gt;=shift_late_income_starting_day),DATE(YEAR(Tracking[[#This Row],[Date]]),MONTH(Tracking[[#This Row],[Date]])+1,1),Tracking[[#This Row],[Date]])</f>
        <v>46087</v>
      </c>
    </row>
    <row r="584" spans="3:9" x14ac:dyDescent="0.3">
      <c r="C584" s="41">
        <v>46090</v>
      </c>
      <c r="D584" s="39" t="s">
        <v>9</v>
      </c>
      <c r="E584" s="39" t="s">
        <v>318</v>
      </c>
      <c r="F584" s="139">
        <v>2.0499999999999998</v>
      </c>
      <c r="G584" s="40"/>
      <c r="H584" s="43" cm="1">
        <f t="array" ref="H584">SUMPRODUCT(Tracking[Amount],--(Tracking[Date]&lt;=Tracking[[#This Row],[Date]]),(Tracking[Type]&lt;&gt;"Income")*(-1)+(Tracking[Type]="Income"))</f>
        <v>-2009.0699999999988</v>
      </c>
      <c r="I584" s="51">
        <f>IF(AND(Tracking[[#This Row],[Type]]="Income",shift_late_income_status="Active",DAY(Tracking[[#This Row],[Date]])&gt;=shift_late_income_starting_day),DATE(YEAR(Tracking[[#This Row],[Date]]),MONTH(Tracking[[#This Row],[Date]])+1,1),Tracking[[#This Row],[Date]])</f>
        <v>46090</v>
      </c>
    </row>
    <row r="585" spans="3:9" x14ac:dyDescent="0.3">
      <c r="C585" s="171">
        <v>46090</v>
      </c>
      <c r="D585" s="172" t="s">
        <v>9</v>
      </c>
      <c r="E585" s="172" t="s">
        <v>318</v>
      </c>
      <c r="F585" s="139">
        <v>2.69</v>
      </c>
      <c r="G585" s="40"/>
      <c r="H585" s="43" cm="1">
        <f t="array" ref="H585">SUMPRODUCT(Tracking[Amount],--(Tracking[Date]&lt;=Tracking[[#This Row],[Date]]),(Tracking[Type]&lt;&gt;"Income")*(-1)+(Tracking[Type]="Income"))</f>
        <v>-2009.0699999999988</v>
      </c>
      <c r="I585" s="51">
        <f>IF(AND(Tracking[[#This Row],[Type]]="Income",shift_late_income_status="Active",DAY(Tracking[[#This Row],[Date]])&gt;=shift_late_income_starting_day),DATE(YEAR(Tracking[[#This Row],[Date]]),MONTH(Tracking[[#This Row],[Date]])+1,1),Tracking[[#This Row],[Date]])</f>
        <v>46090</v>
      </c>
    </row>
    <row r="586" spans="3:9" x14ac:dyDescent="0.3">
      <c r="C586" s="171">
        <v>46090</v>
      </c>
      <c r="D586" s="172" t="s">
        <v>9</v>
      </c>
      <c r="E586" s="172" t="s">
        <v>318</v>
      </c>
      <c r="F586" s="139">
        <v>7.51</v>
      </c>
      <c r="G586" s="40"/>
      <c r="H586" s="43" cm="1">
        <f t="array" ref="H586">SUMPRODUCT(Tracking[Amount],--(Tracking[Date]&lt;=Tracking[[#This Row],[Date]]),(Tracking[Type]&lt;&gt;"Income")*(-1)+(Tracking[Type]="Income"))</f>
        <v>-2009.0699999999988</v>
      </c>
      <c r="I586" s="51">
        <f>IF(AND(Tracking[[#This Row],[Type]]="Income",shift_late_income_status="Active",DAY(Tracking[[#This Row],[Date]])&gt;=shift_late_income_starting_day),DATE(YEAR(Tracking[[#This Row],[Date]]),MONTH(Tracking[[#This Row],[Date]])+1,1),Tracking[[#This Row],[Date]])</f>
        <v>46090</v>
      </c>
    </row>
    <row r="587" spans="3:9" x14ac:dyDescent="0.3">
      <c r="C587" s="171">
        <v>46090</v>
      </c>
      <c r="D587" s="172" t="s">
        <v>9</v>
      </c>
      <c r="E587" s="172" t="s">
        <v>10</v>
      </c>
      <c r="F587" s="139">
        <v>15</v>
      </c>
      <c r="G587" s="40"/>
      <c r="H587" s="43" cm="1">
        <f t="array" ref="H587">SUMPRODUCT(Tracking[Amount],--(Tracking[Date]&lt;=Tracking[[#This Row],[Date]]),(Tracking[Type]&lt;&gt;"Income")*(-1)+(Tracking[Type]="Income"))</f>
        <v>-2009.0699999999988</v>
      </c>
      <c r="I587" s="51">
        <f>IF(AND(Tracking[[#This Row],[Type]]="Income",shift_late_income_status="Active",DAY(Tracking[[#This Row],[Date]])&gt;=shift_late_income_starting_day),DATE(YEAR(Tracking[[#This Row],[Date]]),MONTH(Tracking[[#This Row],[Date]])+1,1),Tracking[[#This Row],[Date]])</f>
        <v>46090</v>
      </c>
    </row>
    <row r="588" spans="3:9" x14ac:dyDescent="0.3">
      <c r="C588" s="171">
        <v>46090</v>
      </c>
      <c r="D588" s="172" t="s">
        <v>9</v>
      </c>
      <c r="E588" s="172" t="s">
        <v>108</v>
      </c>
      <c r="F588" s="139">
        <v>15</v>
      </c>
      <c r="G588" s="40"/>
      <c r="H588" s="43" cm="1">
        <f t="array" ref="H588">SUMPRODUCT(Tracking[Amount],--(Tracking[Date]&lt;=Tracking[[#This Row],[Date]]),(Tracking[Type]&lt;&gt;"Income")*(-1)+(Tracking[Type]="Income"))</f>
        <v>-2009.0699999999988</v>
      </c>
      <c r="I588" s="51">
        <f>IF(AND(Tracking[[#This Row],[Type]]="Income",shift_late_income_status="Active",DAY(Tracking[[#This Row],[Date]])&gt;=shift_late_income_starting_day),DATE(YEAR(Tracking[[#This Row],[Date]]),MONTH(Tracking[[#This Row],[Date]])+1,1),Tracking[[#This Row],[Date]])</f>
        <v>46090</v>
      </c>
    </row>
    <row r="589" spans="3:9" x14ac:dyDescent="0.3">
      <c r="C589" s="171">
        <v>46090</v>
      </c>
      <c r="D589" s="172" t="s">
        <v>9</v>
      </c>
      <c r="E589" s="172" t="s">
        <v>318</v>
      </c>
      <c r="F589" s="139">
        <v>16.489999999999998</v>
      </c>
      <c r="G589" s="40"/>
      <c r="H589" s="43" cm="1">
        <f t="array" ref="H589">SUMPRODUCT(Tracking[Amount],--(Tracking[Date]&lt;=Tracking[[#This Row],[Date]]),(Tracking[Type]&lt;&gt;"Income")*(-1)+(Tracking[Type]="Income"))</f>
        <v>-2009.0699999999988</v>
      </c>
      <c r="I589" s="51">
        <f>IF(AND(Tracking[[#This Row],[Type]]="Income",shift_late_income_status="Active",DAY(Tracking[[#This Row],[Date]])&gt;=shift_late_income_starting_day),DATE(YEAR(Tracking[[#This Row],[Date]]),MONTH(Tracking[[#This Row],[Date]])+1,1),Tracking[[#This Row],[Date]])</f>
        <v>46090</v>
      </c>
    </row>
    <row r="590" spans="3:9" x14ac:dyDescent="0.3">
      <c r="C590" s="171">
        <v>46090</v>
      </c>
      <c r="D590" s="172" t="s">
        <v>9</v>
      </c>
      <c r="E590" s="172" t="s">
        <v>108</v>
      </c>
      <c r="F590" s="139">
        <v>24.89</v>
      </c>
      <c r="G590" s="40"/>
      <c r="H590" s="43" cm="1">
        <f t="array" ref="H590">SUMPRODUCT(Tracking[Amount],--(Tracking[Date]&lt;=Tracking[[#This Row],[Date]]),(Tracking[Type]&lt;&gt;"Income")*(-1)+(Tracking[Type]="Income"))</f>
        <v>-2009.0699999999988</v>
      </c>
      <c r="I590" s="51">
        <f>IF(AND(Tracking[[#This Row],[Type]]="Income",shift_late_income_status="Active",DAY(Tracking[[#This Row],[Date]])&gt;=shift_late_income_starting_day),DATE(YEAR(Tracking[[#This Row],[Date]]),MONTH(Tracking[[#This Row],[Date]])+1,1),Tracking[[#This Row],[Date]])</f>
        <v>46090</v>
      </c>
    </row>
    <row r="591" spans="3:9" x14ac:dyDescent="0.3">
      <c r="C591" s="171">
        <v>46090</v>
      </c>
      <c r="D591" s="172" t="s">
        <v>9</v>
      </c>
      <c r="E591" s="172" t="s">
        <v>318</v>
      </c>
      <c r="F591" s="139">
        <v>25.11</v>
      </c>
      <c r="G591" s="40"/>
      <c r="H591" s="43" cm="1">
        <f t="array" ref="H591">SUMPRODUCT(Tracking[Amount],--(Tracking[Date]&lt;=Tracking[[#This Row],[Date]]),(Tracking[Type]&lt;&gt;"Income")*(-1)+(Tracking[Type]="Income"))</f>
        <v>-2009.0699999999988</v>
      </c>
      <c r="I591" s="51">
        <f>IF(AND(Tracking[[#This Row],[Type]]="Income",shift_late_income_status="Active",DAY(Tracking[[#This Row],[Date]])&gt;=shift_late_income_starting_day),DATE(YEAR(Tracking[[#This Row],[Date]]),MONTH(Tracking[[#This Row],[Date]])+1,1),Tracking[[#This Row],[Date]])</f>
        <v>46090</v>
      </c>
    </row>
    <row r="592" spans="3:9" x14ac:dyDescent="0.3">
      <c r="C592" s="171">
        <v>46090</v>
      </c>
      <c r="D592" s="172" t="s">
        <v>9</v>
      </c>
      <c r="E592" s="172" t="s">
        <v>318</v>
      </c>
      <c r="F592" s="139">
        <v>26.31</v>
      </c>
      <c r="G592" s="40"/>
      <c r="H592" s="43" cm="1">
        <f t="array" ref="H592">SUMPRODUCT(Tracking[Amount],--(Tracking[Date]&lt;=Tracking[[#This Row],[Date]]),(Tracking[Type]&lt;&gt;"Income")*(-1)+(Tracking[Type]="Income"))</f>
        <v>-2009.0699999999988</v>
      </c>
      <c r="I592" s="51">
        <f>IF(AND(Tracking[[#This Row],[Type]]="Income",shift_late_income_status="Active",DAY(Tracking[[#This Row],[Date]])&gt;=shift_late_income_starting_day),DATE(YEAR(Tracking[[#This Row],[Date]]),MONTH(Tracking[[#This Row],[Date]])+1,1),Tracking[[#This Row],[Date]])</f>
        <v>46090</v>
      </c>
    </row>
    <row r="593" spans="3:9" x14ac:dyDescent="0.3">
      <c r="C593" s="171">
        <v>46090</v>
      </c>
      <c r="D593" s="172" t="s">
        <v>9</v>
      </c>
      <c r="E593" s="172" t="s">
        <v>108</v>
      </c>
      <c r="F593" s="139">
        <v>36.79</v>
      </c>
      <c r="G593" s="40"/>
      <c r="H593" s="43" cm="1">
        <f t="array" ref="H593">SUMPRODUCT(Tracking[Amount],--(Tracking[Date]&lt;=Tracking[[#This Row],[Date]]),(Tracking[Type]&lt;&gt;"Income")*(-1)+(Tracking[Type]="Income"))</f>
        <v>-2009.0699999999988</v>
      </c>
      <c r="I593" s="51">
        <f>IF(AND(Tracking[[#This Row],[Type]]="Income",shift_late_income_status="Active",DAY(Tracking[[#This Row],[Date]])&gt;=shift_late_income_starting_day),DATE(YEAR(Tracking[[#This Row],[Date]]),MONTH(Tracking[[#This Row],[Date]])+1,1),Tracking[[#This Row],[Date]])</f>
        <v>46090</v>
      </c>
    </row>
    <row r="594" spans="3:9" x14ac:dyDescent="0.3">
      <c r="C594" s="171">
        <v>46090</v>
      </c>
      <c r="D594" s="172" t="s">
        <v>9</v>
      </c>
      <c r="E594" s="172" t="s">
        <v>108</v>
      </c>
      <c r="F594" s="139">
        <v>96</v>
      </c>
      <c r="G594" s="40" t="s">
        <v>337</v>
      </c>
      <c r="H594" s="43" cm="1">
        <f t="array" ref="H594">SUMPRODUCT(Tracking[Amount],--(Tracking[Date]&lt;=Tracking[[#This Row],[Date]]),(Tracking[Type]&lt;&gt;"Income")*(-1)+(Tracking[Type]="Income"))</f>
        <v>-2009.0699999999988</v>
      </c>
      <c r="I594" s="51">
        <f>IF(AND(Tracking[[#This Row],[Type]]="Income",shift_late_income_status="Active",DAY(Tracking[[#This Row],[Date]])&gt;=shift_late_income_starting_day),DATE(YEAR(Tracking[[#This Row],[Date]]),MONTH(Tracking[[#This Row],[Date]])+1,1),Tracking[[#This Row],[Date]])</f>
        <v>46090</v>
      </c>
    </row>
    <row r="595" spans="3:9" x14ac:dyDescent="0.3">
      <c r="C595" s="171">
        <v>46090</v>
      </c>
      <c r="D595" s="172" t="s">
        <v>9</v>
      </c>
      <c r="E595" s="172" t="s">
        <v>318</v>
      </c>
      <c r="F595" s="139">
        <v>6.2</v>
      </c>
      <c r="G595" s="40"/>
      <c r="H595" s="43" cm="1">
        <f t="array" ref="H595">SUMPRODUCT(Tracking[Amount],--(Tracking[Date]&lt;=Tracking[[#This Row],[Date]]),(Tracking[Type]&lt;&gt;"Income")*(-1)+(Tracking[Type]="Income"))</f>
        <v>-2009.0699999999988</v>
      </c>
      <c r="I595" s="51">
        <f>IF(AND(Tracking[[#This Row],[Type]]="Income",shift_late_income_status="Active",DAY(Tracking[[#This Row],[Date]])&gt;=shift_late_income_starting_day),DATE(YEAR(Tracking[[#This Row],[Date]]),MONTH(Tracking[[#This Row],[Date]])+1,1),Tracking[[#This Row],[Date]])</f>
        <v>46090</v>
      </c>
    </row>
    <row r="596" spans="3:9" x14ac:dyDescent="0.3">
      <c r="C596" s="171">
        <v>46090</v>
      </c>
      <c r="D596" s="172" t="s">
        <v>9</v>
      </c>
      <c r="E596" s="172" t="s">
        <v>318</v>
      </c>
      <c r="F596" s="139">
        <v>7.13</v>
      </c>
      <c r="G596" s="40"/>
      <c r="H596" s="43" cm="1">
        <f t="array" ref="H596">SUMPRODUCT(Tracking[Amount],--(Tracking[Date]&lt;=Tracking[[#This Row],[Date]]),(Tracking[Type]&lt;&gt;"Income")*(-1)+(Tracking[Type]="Income"))</f>
        <v>-2009.0699999999988</v>
      </c>
      <c r="I596" s="51">
        <f>IF(AND(Tracking[[#This Row],[Type]]="Income",shift_late_income_status="Active",DAY(Tracking[[#This Row],[Date]])&gt;=shift_late_income_starting_day),DATE(YEAR(Tracking[[#This Row],[Date]]),MONTH(Tracking[[#This Row],[Date]])+1,1),Tracking[[#This Row],[Date]])</f>
        <v>46090</v>
      </c>
    </row>
    <row r="597" spans="3:9" x14ac:dyDescent="0.3">
      <c r="C597" s="171">
        <v>46090</v>
      </c>
      <c r="D597" s="172" t="s">
        <v>9</v>
      </c>
      <c r="E597" s="172" t="s">
        <v>318</v>
      </c>
      <c r="F597" s="139">
        <v>9.69</v>
      </c>
      <c r="G597" s="40"/>
      <c r="H597" s="43" cm="1">
        <f t="array" ref="H597">SUMPRODUCT(Tracking[Amount],--(Tracking[Date]&lt;=Tracking[[#This Row],[Date]]),(Tracking[Type]&lt;&gt;"Income")*(-1)+(Tracking[Type]="Income"))</f>
        <v>-2009.0699999999988</v>
      </c>
      <c r="I597" s="51">
        <f>IF(AND(Tracking[[#This Row],[Type]]="Income",shift_late_income_status="Active",DAY(Tracking[[#This Row],[Date]])&gt;=shift_late_income_starting_day),DATE(YEAR(Tracking[[#This Row],[Date]]),MONTH(Tracking[[#This Row],[Date]])+1,1),Tracking[[#This Row],[Date]])</f>
        <v>46090</v>
      </c>
    </row>
    <row r="598" spans="3:9" x14ac:dyDescent="0.3">
      <c r="C598" s="171">
        <v>46090</v>
      </c>
      <c r="D598" s="172" t="s">
        <v>9</v>
      </c>
      <c r="E598" s="172" t="s">
        <v>318</v>
      </c>
      <c r="F598" s="139">
        <v>10.27</v>
      </c>
      <c r="G598" s="40"/>
      <c r="H598" s="43" cm="1">
        <f t="array" ref="H598">SUMPRODUCT(Tracking[Amount],--(Tracking[Date]&lt;=Tracking[[#This Row],[Date]]),(Tracking[Type]&lt;&gt;"Income")*(-1)+(Tracking[Type]="Income"))</f>
        <v>-2009.0699999999988</v>
      </c>
      <c r="I598" s="51">
        <f>IF(AND(Tracking[[#This Row],[Type]]="Income",shift_late_income_status="Active",DAY(Tracking[[#This Row],[Date]])&gt;=shift_late_income_starting_day),DATE(YEAR(Tracking[[#This Row],[Date]]),MONTH(Tracking[[#This Row],[Date]])+1,1),Tracking[[#This Row],[Date]])</f>
        <v>46090</v>
      </c>
    </row>
    <row r="599" spans="3:9" x14ac:dyDescent="0.3">
      <c r="C599" s="171">
        <v>46090</v>
      </c>
      <c r="D599" s="172" t="s">
        <v>9</v>
      </c>
      <c r="E599" s="172" t="s">
        <v>318</v>
      </c>
      <c r="F599" s="139">
        <v>19.86</v>
      </c>
      <c r="G599" s="40"/>
      <c r="H599" s="43" cm="1">
        <f t="array" ref="H599">SUMPRODUCT(Tracking[Amount],--(Tracking[Date]&lt;=Tracking[[#This Row],[Date]]),(Tracking[Type]&lt;&gt;"Income")*(-1)+(Tracking[Type]="Income"))</f>
        <v>-2009.0699999999988</v>
      </c>
      <c r="I599" s="51">
        <f>IF(AND(Tracking[[#This Row],[Type]]="Income",shift_late_income_status="Active",DAY(Tracking[[#This Row],[Date]])&gt;=shift_late_income_starting_day),DATE(YEAR(Tracking[[#This Row],[Date]]),MONTH(Tracking[[#This Row],[Date]])+1,1),Tracking[[#This Row],[Date]])</f>
        <v>46090</v>
      </c>
    </row>
    <row r="600" spans="3:9" x14ac:dyDescent="0.3">
      <c r="C600" s="171">
        <v>46090</v>
      </c>
      <c r="D600" s="172" t="s">
        <v>9</v>
      </c>
      <c r="E600" s="172" t="s">
        <v>318</v>
      </c>
      <c r="F600" s="139">
        <v>3.15</v>
      </c>
      <c r="G600" s="40"/>
      <c r="H600" s="43" cm="1">
        <f t="array" ref="H600">SUMPRODUCT(Tracking[Amount],--(Tracking[Date]&lt;=Tracking[[#This Row],[Date]]),(Tracking[Type]&lt;&gt;"Income")*(-1)+(Tracking[Type]="Income"))</f>
        <v>-2009.0699999999988</v>
      </c>
      <c r="I600" s="51">
        <f>IF(AND(Tracking[[#This Row],[Type]]="Income",shift_late_income_status="Active",DAY(Tracking[[#This Row],[Date]])&gt;=shift_late_income_starting_day),DATE(YEAR(Tracking[[#This Row],[Date]]),MONTH(Tracking[[#This Row],[Date]])+1,1),Tracking[[#This Row],[Date]])</f>
        <v>46090</v>
      </c>
    </row>
    <row r="601" spans="3:9" x14ac:dyDescent="0.3">
      <c r="C601" s="171">
        <v>46090</v>
      </c>
      <c r="D601" s="172" t="s">
        <v>9</v>
      </c>
      <c r="E601" s="172" t="s">
        <v>318</v>
      </c>
      <c r="F601" s="139">
        <v>4.3899999999999997</v>
      </c>
      <c r="G601" s="40"/>
      <c r="H601" s="43" cm="1">
        <f t="array" ref="H601">SUMPRODUCT(Tracking[Amount],--(Tracking[Date]&lt;=Tracking[[#This Row],[Date]]),(Tracking[Type]&lt;&gt;"Income")*(-1)+(Tracking[Type]="Income"))</f>
        <v>-2009.0699999999988</v>
      </c>
      <c r="I601" s="51">
        <f>IF(AND(Tracking[[#This Row],[Type]]="Income",shift_late_income_status="Active",DAY(Tracking[[#This Row],[Date]])&gt;=shift_late_income_starting_day),DATE(YEAR(Tracking[[#This Row],[Date]]),MONTH(Tracking[[#This Row],[Date]])+1,1),Tracking[[#This Row],[Date]])</f>
        <v>46090</v>
      </c>
    </row>
    <row r="602" spans="3:9" x14ac:dyDescent="0.3">
      <c r="C602" s="171">
        <v>46090</v>
      </c>
      <c r="D602" s="172" t="s">
        <v>9</v>
      </c>
      <c r="E602" s="172" t="s">
        <v>318</v>
      </c>
      <c r="F602" s="139">
        <v>6.51</v>
      </c>
      <c r="G602" s="40"/>
      <c r="H602" s="43" cm="1">
        <f t="array" ref="H602">SUMPRODUCT(Tracking[Amount],--(Tracking[Date]&lt;=Tracking[[#This Row],[Date]]),(Tracking[Type]&lt;&gt;"Income")*(-1)+(Tracking[Type]="Income"))</f>
        <v>-2009.0699999999988</v>
      </c>
      <c r="I602" s="51">
        <f>IF(AND(Tracking[[#This Row],[Type]]="Income",shift_late_income_status="Active",DAY(Tracking[[#This Row],[Date]])&gt;=shift_late_income_starting_day),DATE(YEAR(Tracking[[#This Row],[Date]]),MONTH(Tracking[[#This Row],[Date]])+1,1),Tracking[[#This Row],[Date]])</f>
        <v>46090</v>
      </c>
    </row>
    <row r="603" spans="3:9" x14ac:dyDescent="0.3">
      <c r="C603" s="171">
        <v>46090</v>
      </c>
      <c r="D603" s="172" t="s">
        <v>9</v>
      </c>
      <c r="E603" s="172" t="s">
        <v>318</v>
      </c>
      <c r="F603" s="139">
        <v>93</v>
      </c>
      <c r="G603" s="40"/>
      <c r="H603" s="43" cm="1">
        <f t="array" ref="H603">SUMPRODUCT(Tracking[Amount],--(Tracking[Date]&lt;=Tracking[[#This Row],[Date]]),(Tracking[Type]&lt;&gt;"Income")*(-1)+(Tracking[Type]="Income"))</f>
        <v>-2009.0699999999988</v>
      </c>
      <c r="I603" s="51">
        <f>IF(AND(Tracking[[#This Row],[Type]]="Income",shift_late_income_status="Active",DAY(Tracking[[#This Row],[Date]])&gt;=shift_late_income_starting_day),DATE(YEAR(Tracking[[#This Row],[Date]]),MONTH(Tracking[[#This Row],[Date]])+1,1),Tracking[[#This Row],[Date]])</f>
        <v>46090</v>
      </c>
    </row>
    <row r="604" spans="3:9" x14ac:dyDescent="0.3">
      <c r="C604" s="171">
        <v>46090</v>
      </c>
      <c r="D604" s="172" t="s">
        <v>9</v>
      </c>
      <c r="E604" s="172" t="s">
        <v>10</v>
      </c>
      <c r="F604" s="139">
        <v>16.239999999999998</v>
      </c>
      <c r="G604" s="40" t="s">
        <v>304</v>
      </c>
      <c r="H604" s="43" cm="1">
        <f t="array" ref="H604">SUMPRODUCT(Tracking[Amount],--(Tracking[Date]&lt;=Tracking[[#This Row],[Date]]),(Tracking[Type]&lt;&gt;"Income")*(-1)+(Tracking[Type]="Income"))</f>
        <v>-2009.0699999999988</v>
      </c>
      <c r="I604" s="51">
        <f>IF(AND(Tracking[[#This Row],[Type]]="Income",shift_late_income_status="Active",DAY(Tracking[[#This Row],[Date]])&gt;=shift_late_income_starting_day),DATE(YEAR(Tracking[[#This Row],[Date]]),MONTH(Tracking[[#This Row],[Date]])+1,1),Tracking[[#This Row],[Date]])</f>
        <v>46090</v>
      </c>
    </row>
    <row r="605" spans="3:9" x14ac:dyDescent="0.3">
      <c r="C605" s="171">
        <v>46093</v>
      </c>
      <c r="D605" s="172" t="s">
        <v>9</v>
      </c>
      <c r="E605" s="172" t="s">
        <v>10</v>
      </c>
      <c r="F605" s="139">
        <v>10.06</v>
      </c>
      <c r="G605" s="40" t="s">
        <v>271</v>
      </c>
      <c r="H605" s="43" cm="1">
        <f t="array" ref="H605">SUMPRODUCT(Tracking[Amount],--(Tracking[Date]&lt;=Tracking[[#This Row],[Date]]),(Tracking[Type]&lt;&gt;"Income")*(-1)+(Tracking[Type]="Income"))</f>
        <v>-2029.1899999999987</v>
      </c>
      <c r="I605" s="51">
        <f>IF(AND(Tracking[[#This Row],[Type]]="Income",shift_late_income_status="Active",DAY(Tracking[[#This Row],[Date]])&gt;=shift_late_income_starting_day),DATE(YEAR(Tracking[[#This Row],[Date]]),MONTH(Tracking[[#This Row],[Date]])+1,1),Tracking[[#This Row],[Date]])</f>
        <v>46093</v>
      </c>
    </row>
    <row r="606" spans="3:9" x14ac:dyDescent="0.3">
      <c r="C606" s="41">
        <v>46094</v>
      </c>
      <c r="D606" s="39" t="s">
        <v>9</v>
      </c>
      <c r="E606" s="39" t="s">
        <v>10</v>
      </c>
      <c r="F606" s="139">
        <v>10.06</v>
      </c>
      <c r="G606" s="40" t="s">
        <v>271</v>
      </c>
      <c r="H606" s="43" cm="1">
        <f t="array" ref="H606">SUMPRODUCT(Tracking[Amount],--(Tracking[Date]&lt;=Tracking[[#This Row],[Date]]),(Tracking[Type]&lt;&gt;"Income")*(-1)+(Tracking[Type]="Income"))</f>
        <v>-2039.2499999999986</v>
      </c>
      <c r="I606" s="51">
        <f>IF(AND(Tracking[[#This Row],[Type]]="Income",shift_late_income_status="Active",DAY(Tracking[[#This Row],[Date]])&gt;=shift_late_income_starting_day),DATE(YEAR(Tracking[[#This Row],[Date]]),MONTH(Tracking[[#This Row],[Date]])+1,1),Tracking[[#This Row],[Date]])</f>
        <v>46094</v>
      </c>
    </row>
    <row r="607" spans="3:9" x14ac:dyDescent="0.3">
      <c r="C607" s="41">
        <v>46095</v>
      </c>
      <c r="D607" s="39" t="s">
        <v>9</v>
      </c>
      <c r="E607" s="39" t="s">
        <v>10</v>
      </c>
      <c r="F607" s="139">
        <v>12.34</v>
      </c>
      <c r="G607" s="40" t="s">
        <v>331</v>
      </c>
      <c r="H607" s="43" cm="1">
        <f t="array" ref="H607">SUMPRODUCT(Tracking[Amount],--(Tracking[Date]&lt;=Tracking[[#This Row],[Date]]),(Tracking[Type]&lt;&gt;"Income")*(-1)+(Tracking[Type]="Income"))</f>
        <v>-2127.0099999999984</v>
      </c>
      <c r="I607" s="51">
        <f>IF(AND(Tracking[[#This Row],[Type]]="Income",shift_late_income_status="Active",DAY(Tracking[[#This Row],[Date]])&gt;=shift_late_income_starting_day),DATE(YEAR(Tracking[[#This Row],[Date]]),MONTH(Tracking[[#This Row],[Date]])+1,1),Tracking[[#This Row],[Date]])</f>
        <v>46095</v>
      </c>
    </row>
    <row r="608" spans="3:9" x14ac:dyDescent="0.3">
      <c r="C608" s="41">
        <v>46095</v>
      </c>
      <c r="D608" s="39" t="s">
        <v>9</v>
      </c>
      <c r="E608" s="39" t="s">
        <v>108</v>
      </c>
      <c r="F608" s="139">
        <v>47.51</v>
      </c>
      <c r="G608" s="40" t="s">
        <v>251</v>
      </c>
      <c r="H608" s="43" cm="1">
        <f t="array" ref="H608">SUMPRODUCT(Tracking[Amount],--(Tracking[Date]&lt;=Tracking[[#This Row],[Date]]),(Tracking[Type]&lt;&gt;"Income")*(-1)+(Tracking[Type]="Income"))</f>
        <v>-2127.0099999999984</v>
      </c>
      <c r="I608" s="51">
        <f>IF(AND(Tracking[[#This Row],[Type]]="Income",shift_late_income_status="Active",DAY(Tracking[[#This Row],[Date]])&gt;=shift_late_income_starting_day),DATE(YEAR(Tracking[[#This Row],[Date]]),MONTH(Tracking[[#This Row],[Date]])+1,1),Tracking[[#This Row],[Date]])</f>
        <v>46095</v>
      </c>
    </row>
    <row r="609" spans="3:9" x14ac:dyDescent="0.3">
      <c r="C609" s="41">
        <v>46095</v>
      </c>
      <c r="D609" s="39" t="s">
        <v>9</v>
      </c>
      <c r="E609" s="39" t="s">
        <v>10</v>
      </c>
      <c r="F609" s="139">
        <v>16.22</v>
      </c>
      <c r="G609" s="40" t="s">
        <v>321</v>
      </c>
      <c r="H609" s="43" cm="1">
        <f t="array" ref="H609">SUMPRODUCT(Tracking[Amount],--(Tracking[Date]&lt;=Tracking[[#This Row],[Date]]),(Tracking[Type]&lt;&gt;"Income")*(-1)+(Tracking[Type]="Income"))</f>
        <v>-2127.0099999999984</v>
      </c>
      <c r="I609" s="51">
        <f>IF(AND(Tracking[[#This Row],[Type]]="Income",shift_late_income_status="Active",DAY(Tracking[[#This Row],[Date]])&gt;=shift_late_income_starting_day),DATE(YEAR(Tracking[[#This Row],[Date]]),MONTH(Tracking[[#This Row],[Date]])+1,1),Tracking[[#This Row],[Date]])</f>
        <v>46095</v>
      </c>
    </row>
    <row r="610" spans="3:9" x14ac:dyDescent="0.3">
      <c r="C610" s="41">
        <v>46096</v>
      </c>
      <c r="D610" s="39" t="s">
        <v>9</v>
      </c>
      <c r="E610" s="39" t="s">
        <v>10</v>
      </c>
      <c r="F610" s="139">
        <v>25.98</v>
      </c>
      <c r="G610" s="40" t="s">
        <v>177</v>
      </c>
      <c r="H610" s="43" cm="1">
        <f t="array" ref="H610">SUMPRODUCT(Tracking[Amount],--(Tracking[Date]&lt;=Tracking[[#This Row],[Date]]),(Tracking[Type]&lt;&gt;"Income")*(-1)+(Tracking[Type]="Income"))</f>
        <v>-2152.9899999999984</v>
      </c>
      <c r="I610" s="51">
        <f>IF(AND(Tracking[[#This Row],[Type]]="Income",shift_late_income_status="Active",DAY(Tracking[[#This Row],[Date]])&gt;=shift_late_income_starting_day),DATE(YEAR(Tracking[[#This Row],[Date]]),MONTH(Tracking[[#This Row],[Date]])+1,1),Tracking[[#This Row],[Date]])</f>
        <v>46096</v>
      </c>
    </row>
    <row r="611" spans="3:9" x14ac:dyDescent="0.3">
      <c r="C611" s="41">
        <v>46095</v>
      </c>
      <c r="D611" s="39" t="s">
        <v>9</v>
      </c>
      <c r="E611" s="39" t="s">
        <v>10</v>
      </c>
      <c r="F611" s="139">
        <v>11.69</v>
      </c>
      <c r="G611" s="40" t="s">
        <v>314</v>
      </c>
      <c r="H611" s="43" cm="1">
        <f t="array" ref="H611">SUMPRODUCT(Tracking[Amount],--(Tracking[Date]&lt;=Tracking[[#This Row],[Date]]),(Tracking[Type]&lt;&gt;"Income")*(-1)+(Tracking[Type]="Income"))</f>
        <v>-2127.0099999999984</v>
      </c>
      <c r="I611" s="51">
        <f>IF(AND(Tracking[[#This Row],[Type]]="Income",shift_late_income_status="Active",DAY(Tracking[[#This Row],[Date]])&gt;=shift_late_income_starting_day),DATE(YEAR(Tracking[[#This Row],[Date]]),MONTH(Tracking[[#This Row],[Date]])+1,1),Tracking[[#This Row],[Date]])</f>
        <v>46095</v>
      </c>
    </row>
    <row r="612" spans="3:9" x14ac:dyDescent="0.3">
      <c r="C612" s="41">
        <v>46093</v>
      </c>
      <c r="D612" s="39" t="s">
        <v>9</v>
      </c>
      <c r="E612" s="39" t="s">
        <v>10</v>
      </c>
      <c r="F612" s="139">
        <v>10.06</v>
      </c>
      <c r="G612" s="40" t="s">
        <v>271</v>
      </c>
      <c r="H612" s="43" cm="1">
        <f t="array" ref="H612">SUMPRODUCT(Tracking[Amount],--(Tracking[Date]&lt;=Tracking[[#This Row],[Date]]),(Tracking[Type]&lt;&gt;"Income")*(-1)+(Tracking[Type]="Income"))</f>
        <v>-2029.1899999999987</v>
      </c>
      <c r="I612" s="51">
        <f>IF(AND(Tracking[[#This Row],[Type]]="Income",shift_late_income_status="Active",DAY(Tracking[[#This Row],[Date]])&gt;=shift_late_income_starting_day),DATE(YEAR(Tracking[[#This Row],[Date]]),MONTH(Tracking[[#This Row],[Date]])+1,1),Tracking[[#This Row],[Date]])</f>
        <v>46093</v>
      </c>
    </row>
    <row r="613" spans="3:9" x14ac:dyDescent="0.3">
      <c r="C613" s="41">
        <v>46098</v>
      </c>
      <c r="D613" s="39" t="s">
        <v>9</v>
      </c>
      <c r="E613" s="39" t="s">
        <v>10</v>
      </c>
      <c r="F613" s="139">
        <v>10.06</v>
      </c>
      <c r="G613" s="40" t="s">
        <v>271</v>
      </c>
      <c r="H613" s="43" cm="1">
        <f t="array" ref="H613">SUMPRODUCT(Tracking[Amount],--(Tracking[Date]&lt;=Tracking[[#This Row],[Date]]),(Tracking[Type]&lt;&gt;"Income")*(-1)+(Tracking[Type]="Income"))</f>
        <v>-2163.0499999999984</v>
      </c>
      <c r="I613" s="51">
        <f>IF(AND(Tracking[[#This Row],[Type]]="Income",shift_late_income_status="Active",DAY(Tracking[[#This Row],[Date]])&gt;=shift_late_income_starting_day),DATE(YEAR(Tracking[[#This Row],[Date]]),MONTH(Tracking[[#This Row],[Date]])+1,1),Tracking[[#This Row],[Date]])</f>
        <v>46098</v>
      </c>
    </row>
    <row r="614" spans="3:9" x14ac:dyDescent="0.3">
      <c r="C614" s="41">
        <v>46099</v>
      </c>
      <c r="D614" s="39" t="s">
        <v>9</v>
      </c>
      <c r="E614" s="39" t="s">
        <v>10</v>
      </c>
      <c r="F614" s="139">
        <v>22</v>
      </c>
      <c r="G614" s="40" t="s">
        <v>249</v>
      </c>
      <c r="H614" s="43" cm="1">
        <f t="array" ref="H614">SUMPRODUCT(Tracking[Amount],--(Tracking[Date]&lt;=Tracking[[#This Row],[Date]]),(Tracking[Type]&lt;&gt;"Income")*(-1)+(Tracking[Type]="Income"))</f>
        <v>-2185.0499999999984</v>
      </c>
      <c r="I614" s="51">
        <f>IF(AND(Tracking[[#This Row],[Type]]="Income",shift_late_income_status="Active",DAY(Tracking[[#This Row],[Date]])&gt;=shift_late_income_starting_day),DATE(YEAR(Tracking[[#This Row],[Date]]),MONTH(Tracking[[#This Row],[Date]])+1,1),Tracking[[#This Row],[Date]])</f>
        <v>46099</v>
      </c>
    </row>
    <row r="615" spans="3:9" x14ac:dyDescent="0.3">
      <c r="C615" s="41">
        <v>46096</v>
      </c>
      <c r="D615" s="39" t="s">
        <v>5</v>
      </c>
      <c r="E615" s="39" t="s">
        <v>104</v>
      </c>
      <c r="F615" s="139">
        <v>7</v>
      </c>
      <c r="G615" s="40"/>
      <c r="H615" s="43" cm="1">
        <f t="array" ref="H615">SUMPRODUCT(Tracking[Amount],--(Tracking[Date]&lt;=Tracking[[#This Row],[Date]]),(Tracking[Type]&lt;&gt;"Income")*(-1)+(Tracking[Type]="Income"))</f>
        <v>-2152.9899999999984</v>
      </c>
      <c r="I615" s="51">
        <f>IF(AND(Tracking[[#This Row],[Type]]="Income",shift_late_income_status="Active",DAY(Tracking[[#This Row],[Date]])&gt;=shift_late_income_starting_day),DATE(YEAR(Tracking[[#This Row],[Date]]),MONTH(Tracking[[#This Row],[Date]])+1,1),Tracking[[#This Row],[Date]])</f>
        <v>46096</v>
      </c>
    </row>
    <row r="616" spans="3:9" x14ac:dyDescent="0.3">
      <c r="C616" s="41">
        <v>46096</v>
      </c>
      <c r="D616" s="39" t="s">
        <v>14</v>
      </c>
      <c r="E616" s="39" t="s">
        <v>110</v>
      </c>
      <c r="F616" s="139">
        <v>7</v>
      </c>
      <c r="G616" s="40"/>
      <c r="H616" s="43" cm="1">
        <f t="array" ref="H616">SUMPRODUCT(Tracking[Amount],--(Tracking[Date]&lt;=Tracking[[#This Row],[Date]]),(Tracking[Type]&lt;&gt;"Income")*(-1)+(Tracking[Type]="Income"))</f>
        <v>-2152.9899999999984</v>
      </c>
      <c r="I616" s="51">
        <f>IF(AND(Tracking[[#This Row],[Type]]="Income",shift_late_income_status="Active",DAY(Tracking[[#This Row],[Date]])&gt;=shift_late_income_starting_day),DATE(YEAR(Tracking[[#This Row],[Date]]),MONTH(Tracking[[#This Row],[Date]])+1,1),Tracking[[#This Row],[Date]])</f>
        <v>46096</v>
      </c>
    </row>
    <row r="617" spans="3:9" x14ac:dyDescent="0.3">
      <c r="C617" s="41">
        <v>46101</v>
      </c>
      <c r="D617" s="39" t="s">
        <v>5</v>
      </c>
      <c r="E617" s="39" t="s">
        <v>103</v>
      </c>
      <c r="F617" s="139">
        <v>639.55999999999995</v>
      </c>
      <c r="G617" s="40"/>
      <c r="H617" s="43" cm="1">
        <f t="array" ref="H617">SUMPRODUCT(Tracking[Amount],--(Tracking[Date]&lt;=Tracking[[#This Row],[Date]]),(Tracking[Type]&lt;&gt;"Income")*(-1)+(Tracking[Type]="Income"))</f>
        <v>-1727.7899999999984</v>
      </c>
      <c r="I617" s="51">
        <f>IF(AND(Tracking[[#This Row],[Type]]="Income",shift_late_income_status="Active",DAY(Tracking[[#This Row],[Date]])&gt;=shift_late_income_starting_day),DATE(YEAR(Tracking[[#This Row],[Date]]),MONTH(Tracking[[#This Row],[Date]])+1,1),Tracking[[#This Row],[Date]])</f>
        <v>46101</v>
      </c>
    </row>
    <row r="618" spans="3:9" x14ac:dyDescent="0.3">
      <c r="C618" s="41">
        <v>46100</v>
      </c>
      <c r="D618" s="39" t="s">
        <v>9</v>
      </c>
      <c r="E618" s="39" t="s">
        <v>10</v>
      </c>
      <c r="F618" s="139">
        <v>38.93</v>
      </c>
      <c r="G618" s="40" t="s">
        <v>338</v>
      </c>
      <c r="H618" s="43" cm="1">
        <f t="array" ref="H618">SUMPRODUCT(Tracking[Amount],--(Tracking[Date]&lt;=Tracking[[#This Row],[Date]]),(Tracking[Type]&lt;&gt;"Income")*(-1)+(Tracking[Type]="Income"))</f>
        <v>-2234.0399999999981</v>
      </c>
      <c r="I618" s="51">
        <f>IF(AND(Tracking[[#This Row],[Type]]="Income",shift_late_income_status="Active",DAY(Tracking[[#This Row],[Date]])&gt;=shift_late_income_starting_day),DATE(YEAR(Tracking[[#This Row],[Date]]),MONTH(Tracking[[#This Row],[Date]])+1,1),Tracking[[#This Row],[Date]])</f>
        <v>46100</v>
      </c>
    </row>
    <row r="619" spans="3:9" x14ac:dyDescent="0.3">
      <c r="C619" s="41">
        <v>46101</v>
      </c>
      <c r="D619" s="39" t="s">
        <v>9</v>
      </c>
      <c r="E619" s="39" t="s">
        <v>10</v>
      </c>
      <c r="F619" s="139">
        <v>10.06</v>
      </c>
      <c r="G619" s="40" t="s">
        <v>271</v>
      </c>
      <c r="H619" s="43" cm="1">
        <f t="array" ref="H619">SUMPRODUCT(Tracking[Amount],--(Tracking[Date]&lt;=Tracking[[#This Row],[Date]]),(Tracking[Type]&lt;&gt;"Income")*(-1)+(Tracking[Type]="Income"))</f>
        <v>-1727.7899999999984</v>
      </c>
      <c r="I619" s="51">
        <f>IF(AND(Tracking[[#This Row],[Type]]="Income",shift_late_income_status="Active",DAY(Tracking[[#This Row],[Date]])&gt;=shift_late_income_starting_day),DATE(YEAR(Tracking[[#This Row],[Date]]),MONTH(Tracking[[#This Row],[Date]])+1,1),Tracking[[#This Row],[Date]])</f>
        <v>46101</v>
      </c>
    </row>
    <row r="620" spans="3:9" x14ac:dyDescent="0.3">
      <c r="C620" s="41">
        <v>46100</v>
      </c>
      <c r="D620" s="39" t="s">
        <v>9</v>
      </c>
      <c r="E620" s="39" t="s">
        <v>10</v>
      </c>
      <c r="F620" s="139">
        <v>10.06</v>
      </c>
      <c r="G620" s="40" t="s">
        <v>271</v>
      </c>
      <c r="H620" s="43" cm="1">
        <f t="array" ref="H620">SUMPRODUCT(Tracking[Amount],--(Tracking[Date]&lt;=Tracking[[#This Row],[Date]]),(Tracking[Type]&lt;&gt;"Income")*(-1)+(Tracking[Type]="Income"))</f>
        <v>-2234.0399999999981</v>
      </c>
      <c r="I620" s="51">
        <f>IF(AND(Tracking[[#This Row],[Type]]="Income",shift_late_income_status="Active",DAY(Tracking[[#This Row],[Date]])&gt;=shift_late_income_starting_day),DATE(YEAR(Tracking[[#This Row],[Date]]),MONTH(Tracking[[#This Row],[Date]])+1,1),Tracking[[#This Row],[Date]])</f>
        <v>46100</v>
      </c>
    </row>
    <row r="621" spans="3:9" x14ac:dyDescent="0.3">
      <c r="C621" s="41">
        <v>46102</v>
      </c>
      <c r="D621" s="39" t="s">
        <v>9</v>
      </c>
      <c r="E621" s="39" t="s">
        <v>12</v>
      </c>
      <c r="F621" s="139">
        <v>3.24</v>
      </c>
      <c r="G621" s="40" t="s">
        <v>238</v>
      </c>
      <c r="H621" s="43" cm="1">
        <f t="array" ref="H621">SUMPRODUCT(Tracking[Amount],--(Tracking[Date]&lt;=Tracking[[#This Row],[Date]]),(Tracking[Type]&lt;&gt;"Income")*(-1)+(Tracking[Type]="Income"))</f>
        <v>-1731.0299999999984</v>
      </c>
      <c r="I621" s="51">
        <f>IF(AND(Tracking[[#This Row],[Type]]="Income",shift_late_income_status="Active",DAY(Tracking[[#This Row],[Date]])&gt;=shift_late_income_starting_day),DATE(YEAR(Tracking[[#This Row],[Date]]),MONTH(Tracking[[#This Row],[Date]])+1,1),Tracking[[#This Row],[Date]])</f>
        <v>46102</v>
      </c>
    </row>
    <row r="622" spans="3:9" x14ac:dyDescent="0.3">
      <c r="C622" s="41">
        <v>46101</v>
      </c>
      <c r="D622" s="39" t="s">
        <v>9</v>
      </c>
      <c r="E622" s="39" t="s">
        <v>10</v>
      </c>
      <c r="F622" s="139">
        <v>27.45</v>
      </c>
      <c r="G622" s="40" t="s">
        <v>248</v>
      </c>
      <c r="H622" s="43" cm="1">
        <f t="array" ref="H622">SUMPRODUCT(Tracking[Amount],--(Tracking[Date]&lt;=Tracking[[#This Row],[Date]]),(Tracking[Type]&lt;&gt;"Income")*(-1)+(Tracking[Type]="Income"))</f>
        <v>-1727.7899999999984</v>
      </c>
      <c r="I622" s="51">
        <f>IF(AND(Tracking[[#This Row],[Type]]="Income",shift_late_income_status="Active",DAY(Tracking[[#This Row],[Date]])&gt;=shift_late_income_starting_day),DATE(YEAR(Tracking[[#This Row],[Date]]),MONTH(Tracking[[#This Row],[Date]])+1,1),Tracking[[#This Row],[Date]])</f>
        <v>46101</v>
      </c>
    </row>
    <row r="623" spans="3:9" x14ac:dyDescent="0.3">
      <c r="C623" s="41">
        <v>46101</v>
      </c>
      <c r="D623" s="39" t="s">
        <v>14</v>
      </c>
      <c r="E623" s="39" t="s">
        <v>324</v>
      </c>
      <c r="F623" s="139">
        <v>95.8</v>
      </c>
      <c r="G623" s="40"/>
      <c r="H623" s="43" cm="1">
        <f t="array" ref="H623">SUMPRODUCT(Tracking[Amount],--(Tracking[Date]&lt;=Tracking[[#This Row],[Date]]),(Tracking[Type]&lt;&gt;"Income")*(-1)+(Tracking[Type]="Income"))</f>
        <v>-1727.7899999999984</v>
      </c>
      <c r="I623" s="51">
        <f>IF(AND(Tracking[[#This Row],[Type]]="Income",shift_late_income_status="Active",DAY(Tracking[[#This Row],[Date]])&gt;=shift_late_income_starting_day),DATE(YEAR(Tracking[[#This Row],[Date]]),MONTH(Tracking[[#This Row],[Date]])+1,1),Tracking[[#This Row],[Date]])</f>
        <v>46101</v>
      </c>
    </row>
    <row r="624" spans="3:9" x14ac:dyDescent="0.3">
      <c r="C624" s="41">
        <v>46104</v>
      </c>
      <c r="D624" s="39" t="s">
        <v>9</v>
      </c>
      <c r="E624" s="39" t="s">
        <v>10</v>
      </c>
      <c r="F624" s="139">
        <v>27.67</v>
      </c>
      <c r="G624" s="40" t="s">
        <v>165</v>
      </c>
      <c r="H624" s="43" cm="1">
        <f t="array" ref="H624">SUMPRODUCT(Tracking[Amount],--(Tracking[Date]&lt;=Tracking[[#This Row],[Date]]),(Tracking[Type]&lt;&gt;"Income")*(-1)+(Tracking[Type]="Income"))</f>
        <v>-1909.1499999999983</v>
      </c>
      <c r="I624" s="51">
        <f>IF(AND(Tracking[[#This Row],[Type]]="Income",shift_late_income_status="Active",DAY(Tracking[[#This Row],[Date]])&gt;=shift_late_income_starting_day),DATE(YEAR(Tracking[[#This Row],[Date]]),MONTH(Tracking[[#This Row],[Date]])+1,1),Tracking[[#This Row],[Date]])</f>
        <v>46104</v>
      </c>
    </row>
    <row r="625" spans="3:9" x14ac:dyDescent="0.3">
      <c r="C625" s="41">
        <v>46104</v>
      </c>
      <c r="D625" s="39" t="s">
        <v>9</v>
      </c>
      <c r="E625" s="39" t="s">
        <v>10</v>
      </c>
      <c r="F625" s="139">
        <v>13.48</v>
      </c>
      <c r="G625" s="40" t="s">
        <v>219</v>
      </c>
      <c r="H625" s="43" cm="1">
        <f t="array" ref="H625">SUMPRODUCT(Tracking[Amount],--(Tracking[Date]&lt;=Tracking[[#This Row],[Date]]),(Tracking[Type]&lt;&gt;"Income")*(-1)+(Tracking[Type]="Income"))</f>
        <v>-1909.1499999999983</v>
      </c>
      <c r="I625" s="51">
        <f>IF(AND(Tracking[[#This Row],[Type]]="Income",shift_late_income_status="Active",DAY(Tracking[[#This Row],[Date]])&gt;=shift_late_income_starting_day),DATE(YEAR(Tracking[[#This Row],[Date]]),MONTH(Tracking[[#This Row],[Date]])+1,1),Tracking[[#This Row],[Date]])</f>
        <v>46104</v>
      </c>
    </row>
    <row r="626" spans="3:9" x14ac:dyDescent="0.3">
      <c r="C626" s="41">
        <v>46104</v>
      </c>
      <c r="D626" s="39" t="s">
        <v>9</v>
      </c>
      <c r="E626" s="39" t="s">
        <v>111</v>
      </c>
      <c r="F626" s="139">
        <v>107.12</v>
      </c>
      <c r="G626" s="40" t="s">
        <v>339</v>
      </c>
      <c r="H626" s="43" cm="1">
        <f t="array" ref="H626">SUMPRODUCT(Tracking[Amount],--(Tracking[Date]&lt;=Tracking[[#This Row],[Date]]),(Tracking[Type]&lt;&gt;"Income")*(-1)+(Tracking[Type]="Income"))</f>
        <v>-1909.1499999999983</v>
      </c>
      <c r="I626" s="51">
        <f>IF(AND(Tracking[[#This Row],[Type]]="Income",shift_late_income_status="Active",DAY(Tracking[[#This Row],[Date]])&gt;=shift_late_income_starting_day),DATE(YEAR(Tracking[[#This Row],[Date]]),MONTH(Tracking[[#This Row],[Date]])+1,1),Tracking[[#This Row],[Date]])</f>
        <v>46104</v>
      </c>
    </row>
    <row r="627" spans="3:9" x14ac:dyDescent="0.3">
      <c r="C627" s="41">
        <v>46104</v>
      </c>
      <c r="D627" s="39" t="s">
        <v>9</v>
      </c>
      <c r="E627" s="39" t="s">
        <v>111</v>
      </c>
      <c r="F627" s="139">
        <v>19.79</v>
      </c>
      <c r="G627" s="40" t="s">
        <v>340</v>
      </c>
      <c r="H627" s="43" cm="1">
        <f t="array" ref="H627">SUMPRODUCT(Tracking[Amount],--(Tracking[Date]&lt;=Tracking[[#This Row],[Date]]),(Tracking[Type]&lt;&gt;"Income")*(-1)+(Tracking[Type]="Income"))</f>
        <v>-1909.1499999999983</v>
      </c>
      <c r="I627" s="51">
        <f>IF(AND(Tracking[[#This Row],[Type]]="Income",shift_late_income_status="Active",DAY(Tracking[[#This Row],[Date]])&gt;=shift_late_income_starting_day),DATE(YEAR(Tracking[[#This Row],[Date]]),MONTH(Tracking[[#This Row],[Date]])+1,1),Tracking[[#This Row],[Date]])</f>
        <v>46104</v>
      </c>
    </row>
    <row r="628" spans="3:9" x14ac:dyDescent="0.3">
      <c r="C628" s="41">
        <v>46104</v>
      </c>
      <c r="D628" s="39" t="s">
        <v>9</v>
      </c>
      <c r="E628" s="39" t="s">
        <v>10</v>
      </c>
      <c r="F628" s="139">
        <v>10.06</v>
      </c>
      <c r="G628" s="40" t="s">
        <v>271</v>
      </c>
      <c r="H628" s="43" cm="1">
        <f t="array" ref="H628">SUMPRODUCT(Tracking[Amount],--(Tracking[Date]&lt;=Tracking[[#This Row],[Date]]),(Tracking[Type]&lt;&gt;"Income")*(-1)+(Tracking[Type]="Income"))</f>
        <v>-1909.1499999999983</v>
      </c>
      <c r="I628" s="51">
        <f>IF(AND(Tracking[[#This Row],[Type]]="Income",shift_late_income_status="Active",DAY(Tracking[[#This Row],[Date]])&gt;=shift_late_income_starting_day),DATE(YEAR(Tracking[[#This Row],[Date]]),MONTH(Tracking[[#This Row],[Date]])+1,1),Tracking[[#This Row],[Date]])</f>
        <v>46104</v>
      </c>
    </row>
    <row r="629" spans="3:9" x14ac:dyDescent="0.3">
      <c r="C629" s="41">
        <v>46107</v>
      </c>
      <c r="D629" s="39" t="s">
        <v>9</v>
      </c>
      <c r="E629" s="39" t="s">
        <v>111</v>
      </c>
      <c r="F629" s="139">
        <v>12.99</v>
      </c>
      <c r="G629" s="40" t="s">
        <v>341</v>
      </c>
      <c r="H629" s="43" cm="1">
        <f t="array" ref="H629">SUMPRODUCT(Tracking[Amount],--(Tracking[Date]&lt;=Tracking[[#This Row],[Date]]),(Tracking[Type]&lt;&gt;"Income")*(-1)+(Tracking[Type]="Income"))</f>
        <v>-1982.7399999999982</v>
      </c>
      <c r="I629" s="51">
        <f>IF(AND(Tracking[[#This Row],[Type]]="Income",shift_late_income_status="Active",DAY(Tracking[[#This Row],[Date]])&gt;=shift_late_income_starting_day),DATE(YEAR(Tracking[[#This Row],[Date]]),MONTH(Tracking[[#This Row],[Date]])+1,1),Tracking[[#This Row],[Date]])</f>
        <v>46107</v>
      </c>
    </row>
    <row r="630" spans="3:9" x14ac:dyDescent="0.3">
      <c r="C630" s="41">
        <v>46107</v>
      </c>
      <c r="D630" s="39" t="s">
        <v>9</v>
      </c>
      <c r="E630" s="39" t="s">
        <v>111</v>
      </c>
      <c r="F630" s="139">
        <v>50</v>
      </c>
      <c r="G630" s="40" t="s">
        <v>341</v>
      </c>
      <c r="H630" s="43" cm="1">
        <f t="array" ref="H630">SUMPRODUCT(Tracking[Amount],--(Tracking[Date]&lt;=Tracking[[#This Row],[Date]]),(Tracking[Type]&lt;&gt;"Income")*(-1)+(Tracking[Type]="Income"))</f>
        <v>-1982.7399999999982</v>
      </c>
      <c r="I630" s="51">
        <f>IF(AND(Tracking[[#This Row],[Type]]="Income",shift_late_income_status="Active",DAY(Tracking[[#This Row],[Date]])&gt;=shift_late_income_starting_day),DATE(YEAR(Tracking[[#This Row],[Date]]),MONTH(Tracking[[#This Row],[Date]])+1,1),Tracking[[#This Row],[Date]])</f>
        <v>46107</v>
      </c>
    </row>
    <row r="631" spans="3:9" x14ac:dyDescent="0.3">
      <c r="C631" s="41">
        <v>46107</v>
      </c>
      <c r="D631" s="39" t="s">
        <v>9</v>
      </c>
      <c r="E631" s="39" t="s">
        <v>10</v>
      </c>
      <c r="F631" s="139">
        <v>10.6</v>
      </c>
      <c r="G631" s="40" t="s">
        <v>271</v>
      </c>
      <c r="H631" s="43" cm="1">
        <f t="array" ref="H631">SUMPRODUCT(Tracking[Amount],--(Tracking[Date]&lt;=Tracking[[#This Row],[Date]]),(Tracking[Type]&lt;&gt;"Income")*(-1)+(Tracking[Type]="Income"))</f>
        <v>-1982.7399999999982</v>
      </c>
      <c r="I631" s="51">
        <f>IF(AND(Tracking[[#This Row],[Type]]="Income",shift_late_income_status="Active",DAY(Tracking[[#This Row],[Date]])&gt;=shift_late_income_starting_day),DATE(YEAR(Tracking[[#This Row],[Date]]),MONTH(Tracking[[#This Row],[Date]])+1,1),Tracking[[#This Row],[Date]])</f>
        <v>46107</v>
      </c>
    </row>
    <row r="632" spans="3:9" x14ac:dyDescent="0.3">
      <c r="C632" s="41">
        <v>46111</v>
      </c>
      <c r="D632" s="39" t="s">
        <v>5</v>
      </c>
      <c r="E632" s="173" t="s">
        <v>105</v>
      </c>
      <c r="F632" s="139">
        <v>60</v>
      </c>
      <c r="G632" s="40" t="s">
        <v>342</v>
      </c>
      <c r="H632" s="43" cm="1">
        <f t="array" ref="H632">SUMPRODUCT(Tracking[Amount],--(Tracking[Date]&lt;=Tracking[[#This Row],[Date]]),(Tracking[Type]&lt;&gt;"Income")*(-1)+(Tracking[Type]="Income"))</f>
        <v>-2051.679999999998</v>
      </c>
      <c r="I632" s="51">
        <f>IF(AND(Tracking[[#This Row],[Type]]="Income",shift_late_income_status="Active",DAY(Tracking[[#This Row],[Date]])&gt;=shift_late_income_starting_day),DATE(YEAR(Tracking[[#This Row],[Date]]),MONTH(Tracking[[#This Row],[Date]])+1,1),Tracking[[#This Row],[Date]])</f>
        <v>46113</v>
      </c>
    </row>
    <row r="633" spans="3:9" x14ac:dyDescent="0.3">
      <c r="C633" s="41">
        <v>46111</v>
      </c>
      <c r="D633" s="39" t="s">
        <v>14</v>
      </c>
      <c r="E633" s="39" t="s">
        <v>324</v>
      </c>
      <c r="F633" s="139">
        <v>60</v>
      </c>
      <c r="G633" s="40"/>
      <c r="H633" s="43" cm="1">
        <f t="array" ref="H633">SUMPRODUCT(Tracking[Amount],--(Tracking[Date]&lt;=Tracking[[#This Row],[Date]]),(Tracking[Type]&lt;&gt;"Income")*(-1)+(Tracking[Type]="Income"))</f>
        <v>-2051.679999999998</v>
      </c>
      <c r="I633" s="51">
        <f>IF(AND(Tracking[[#This Row],[Type]]="Income",shift_late_income_status="Active",DAY(Tracking[[#This Row],[Date]])&gt;=shift_late_income_starting_day),DATE(YEAR(Tracking[[#This Row],[Date]]),MONTH(Tracking[[#This Row],[Date]])+1,1),Tracking[[#This Row],[Date]])</f>
        <v>46111</v>
      </c>
    </row>
    <row r="634" spans="3:9" x14ac:dyDescent="0.3">
      <c r="C634" s="41">
        <v>46111</v>
      </c>
      <c r="D634" s="39" t="s">
        <v>9</v>
      </c>
      <c r="E634" s="39" t="s">
        <v>111</v>
      </c>
      <c r="F634" s="139">
        <v>4.47</v>
      </c>
      <c r="G634" s="40" t="s">
        <v>343</v>
      </c>
      <c r="H634" s="43" cm="1">
        <f t="array" ref="H634">SUMPRODUCT(Tracking[Amount],--(Tracking[Date]&lt;=Tracking[[#This Row],[Date]]),(Tracking[Type]&lt;&gt;"Income")*(-1)+(Tracking[Type]="Income"))</f>
        <v>-2051.679999999998</v>
      </c>
      <c r="I634" s="51">
        <f>IF(AND(Tracking[[#This Row],[Type]]="Income",shift_late_income_status="Active",DAY(Tracking[[#This Row],[Date]])&gt;=shift_late_income_starting_day),DATE(YEAR(Tracking[[#This Row],[Date]]),MONTH(Tracking[[#This Row],[Date]])+1,1),Tracking[[#This Row],[Date]])</f>
        <v>46111</v>
      </c>
    </row>
    <row r="635" spans="3:9" x14ac:dyDescent="0.3">
      <c r="C635" s="41">
        <v>46111</v>
      </c>
      <c r="D635" s="39" t="s">
        <v>9</v>
      </c>
      <c r="E635" s="39" t="s">
        <v>10</v>
      </c>
      <c r="F635" s="139">
        <v>10.6</v>
      </c>
      <c r="G635" s="40" t="s">
        <v>271</v>
      </c>
      <c r="H635" s="43" cm="1">
        <f t="array" ref="H635">SUMPRODUCT(Tracking[Amount],--(Tracking[Date]&lt;=Tracking[[#This Row],[Date]]),(Tracking[Type]&lt;&gt;"Income")*(-1)+(Tracking[Type]="Income"))</f>
        <v>-2051.679999999998</v>
      </c>
      <c r="I635" s="51">
        <f>IF(AND(Tracking[[#This Row],[Type]]="Income",shift_late_income_status="Active",DAY(Tracking[[#This Row],[Date]])&gt;=shift_late_income_starting_day),DATE(YEAR(Tracking[[#This Row],[Date]]),MONTH(Tracking[[#This Row],[Date]])+1,1),Tracking[[#This Row],[Date]])</f>
        <v>46111</v>
      </c>
    </row>
    <row r="636" spans="3:9" x14ac:dyDescent="0.3">
      <c r="C636" s="41">
        <v>46111</v>
      </c>
      <c r="D636" s="39" t="s">
        <v>9</v>
      </c>
      <c r="E636" s="39" t="s">
        <v>10</v>
      </c>
      <c r="F636" s="139">
        <v>11.34</v>
      </c>
      <c r="G636" s="40" t="s">
        <v>344</v>
      </c>
      <c r="H636" s="43" cm="1">
        <f t="array" ref="H636">SUMPRODUCT(Tracking[Amount],--(Tracking[Date]&lt;=Tracking[[#This Row],[Date]]),(Tracking[Type]&lt;&gt;"Income")*(-1)+(Tracking[Type]="Income"))</f>
        <v>-2051.679999999998</v>
      </c>
      <c r="I636" s="51">
        <f>IF(AND(Tracking[[#This Row],[Type]]="Income",shift_late_income_status="Active",DAY(Tracking[[#This Row],[Date]])&gt;=shift_late_income_starting_day),DATE(YEAR(Tracking[[#This Row],[Date]]),MONTH(Tracking[[#This Row],[Date]])+1,1),Tracking[[#This Row],[Date]])</f>
        <v>46111</v>
      </c>
    </row>
    <row r="637" spans="3:9" x14ac:dyDescent="0.3">
      <c r="C637" s="41">
        <v>46111</v>
      </c>
      <c r="D637" s="39" t="s">
        <v>9</v>
      </c>
      <c r="E637" s="39" t="s">
        <v>10</v>
      </c>
      <c r="F637" s="139">
        <v>15</v>
      </c>
      <c r="G637" s="40" t="s">
        <v>249</v>
      </c>
      <c r="H637" s="43" cm="1">
        <f t="array" ref="H637">SUMPRODUCT(Tracking[Amount],--(Tracking[Date]&lt;=Tracking[[#This Row],[Date]]),(Tracking[Type]&lt;&gt;"Income")*(-1)+(Tracking[Type]="Income"))</f>
        <v>-2051.679999999998</v>
      </c>
      <c r="I637" s="51">
        <f>IF(AND(Tracking[[#This Row],[Type]]="Income",shift_late_income_status="Active",DAY(Tracking[[#This Row],[Date]])&gt;=shift_late_income_starting_day),DATE(YEAR(Tracking[[#This Row],[Date]]),MONTH(Tracking[[#This Row],[Date]])+1,1),Tracking[[#This Row],[Date]])</f>
        <v>46111</v>
      </c>
    </row>
    <row r="638" spans="3:9" x14ac:dyDescent="0.3">
      <c r="C638" s="41">
        <v>46111</v>
      </c>
      <c r="D638" s="39" t="s">
        <v>9</v>
      </c>
      <c r="E638" s="39" t="s">
        <v>10</v>
      </c>
      <c r="F638" s="139">
        <v>27.53</v>
      </c>
      <c r="G638" s="40" t="s">
        <v>250</v>
      </c>
      <c r="H638" s="43" cm="1">
        <f t="array" ref="H638">SUMPRODUCT(Tracking[Amount],--(Tracking[Date]&lt;=Tracking[[#This Row],[Date]]),(Tracking[Type]&lt;&gt;"Income")*(-1)+(Tracking[Type]="Income"))</f>
        <v>-2051.679999999998</v>
      </c>
      <c r="I638" s="51">
        <f>IF(AND(Tracking[[#This Row],[Type]]="Income",shift_late_income_status="Active",DAY(Tracking[[#This Row],[Date]])&gt;=shift_late_income_starting_day),DATE(YEAR(Tracking[[#This Row],[Date]]),MONTH(Tracking[[#This Row],[Date]])+1,1),Tracking[[#This Row],[Date]])</f>
        <v>46111</v>
      </c>
    </row>
    <row r="639" spans="3:9" x14ac:dyDescent="0.3">
      <c r="C639" s="41">
        <v>46112</v>
      </c>
      <c r="D639" s="39" t="s">
        <v>9</v>
      </c>
      <c r="E639" s="39" t="s">
        <v>111</v>
      </c>
      <c r="F639" s="139">
        <v>50</v>
      </c>
      <c r="G639" s="40" t="s">
        <v>341</v>
      </c>
      <c r="H639" s="43" cm="1">
        <f t="array" ref="H639">SUMPRODUCT(Tracking[Amount],--(Tracking[Date]&lt;=Tracking[[#This Row],[Date]]),(Tracking[Type]&lt;&gt;"Income")*(-1)+(Tracking[Type]="Income"))</f>
        <v>-2101.679999999998</v>
      </c>
      <c r="I639" s="51">
        <f>IF(AND(Tracking[[#This Row],[Type]]="Income",shift_late_income_status="Active",DAY(Tracking[[#This Row],[Date]])&gt;=shift_late_income_starting_day),DATE(YEAR(Tracking[[#This Row],[Date]]),MONTH(Tracking[[#This Row],[Date]])+1,1),Tracking[[#This Row],[Date]])</f>
        <v>46112</v>
      </c>
    </row>
    <row r="640" spans="3:9" x14ac:dyDescent="0.3">
      <c r="C640" s="41">
        <v>46113</v>
      </c>
      <c r="D640" s="39" t="s">
        <v>9</v>
      </c>
      <c r="E640" s="39" t="s">
        <v>12</v>
      </c>
      <c r="F640" s="139">
        <v>2.13</v>
      </c>
      <c r="G640" s="40" t="s">
        <v>333</v>
      </c>
      <c r="H640" s="43" cm="1">
        <f t="array" ref="H640">SUMPRODUCT(Tracking[Amount],--(Tracking[Date]&lt;=Tracking[[#This Row],[Date]]),(Tracking[Type]&lt;&gt;"Income")*(-1)+(Tracking[Type]="Income"))</f>
        <v>-2113.8699999999981</v>
      </c>
      <c r="I640" s="51">
        <f>IF(AND(Tracking[[#This Row],[Type]]="Income",shift_late_income_status="Active",DAY(Tracking[[#This Row],[Date]])&gt;=shift_late_income_starting_day),DATE(YEAR(Tracking[[#This Row],[Date]]),MONTH(Tracking[[#This Row],[Date]])+1,1),Tracking[[#This Row],[Date]])</f>
        <v>46113</v>
      </c>
    </row>
    <row r="641" spans="3:9" x14ac:dyDescent="0.3">
      <c r="C641" s="41">
        <v>46113</v>
      </c>
      <c r="D641" s="39" t="s">
        <v>9</v>
      </c>
      <c r="E641" s="39" t="s">
        <v>10</v>
      </c>
      <c r="F641" s="139">
        <v>10.06</v>
      </c>
      <c r="G641" s="40" t="s">
        <v>271</v>
      </c>
      <c r="H641" s="43" cm="1">
        <f t="array" ref="H641">SUMPRODUCT(Tracking[Amount],--(Tracking[Date]&lt;=Tracking[[#This Row],[Date]]),(Tracking[Type]&lt;&gt;"Income")*(-1)+(Tracking[Type]="Income"))</f>
        <v>-2113.8699999999981</v>
      </c>
      <c r="I641" s="51">
        <f>IF(AND(Tracking[[#This Row],[Type]]="Income",shift_late_income_status="Active",DAY(Tracking[[#This Row],[Date]])&gt;=shift_late_income_starting_day),DATE(YEAR(Tracking[[#This Row],[Date]]),MONTH(Tracking[[#This Row],[Date]])+1,1),Tracking[[#This Row],[Date]])</f>
        <v>46113</v>
      </c>
    </row>
    <row r="642" spans="3:9" x14ac:dyDescent="0.3">
      <c r="C642" s="41">
        <v>46114</v>
      </c>
      <c r="D642" s="39" t="s">
        <v>9</v>
      </c>
      <c r="E642" s="39" t="s">
        <v>10</v>
      </c>
      <c r="F642" s="139">
        <v>6.71</v>
      </c>
      <c r="G642" s="40" t="s">
        <v>277</v>
      </c>
      <c r="H642" s="43" cm="1">
        <f t="array" ref="H642">SUMPRODUCT(Tracking[Amount],--(Tracking[Date]&lt;=Tracking[[#This Row],[Date]]),(Tracking[Type]&lt;&gt;"Income")*(-1)+(Tracking[Type]="Income"))</f>
        <v>-2159.9999999999977</v>
      </c>
      <c r="I642" s="51">
        <f>IF(AND(Tracking[[#This Row],[Type]]="Income",shift_late_income_status="Active",DAY(Tracking[[#This Row],[Date]])&gt;=shift_late_income_starting_day),DATE(YEAR(Tracking[[#This Row],[Date]]),MONTH(Tracking[[#This Row],[Date]])+1,1),Tracking[[#This Row],[Date]])</f>
        <v>46114</v>
      </c>
    </row>
    <row r="643" spans="3:9" x14ac:dyDescent="0.3">
      <c r="C643" s="41">
        <v>46114</v>
      </c>
      <c r="D643" s="39" t="s">
        <v>9</v>
      </c>
      <c r="E643" s="39" t="s">
        <v>10</v>
      </c>
      <c r="F643" s="139">
        <v>7.58</v>
      </c>
      <c r="G643" s="40" t="s">
        <v>325</v>
      </c>
      <c r="H643" s="43" cm="1">
        <f t="array" ref="H643">SUMPRODUCT(Tracking[Amount],--(Tracking[Date]&lt;=Tracking[[#This Row],[Date]]),(Tracking[Type]&lt;&gt;"Income")*(-1)+(Tracking[Type]="Income"))</f>
        <v>-2159.9999999999977</v>
      </c>
      <c r="I643" s="51">
        <f>IF(AND(Tracking[[#This Row],[Type]]="Income",shift_late_income_status="Active",DAY(Tracking[[#This Row],[Date]])&gt;=shift_late_income_starting_day),DATE(YEAR(Tracking[[#This Row],[Date]]),MONTH(Tracking[[#This Row],[Date]])+1,1),Tracking[[#This Row],[Date]])</f>
        <v>46114</v>
      </c>
    </row>
    <row r="644" spans="3:9" x14ac:dyDescent="0.3">
      <c r="C644" s="41">
        <v>46114</v>
      </c>
      <c r="D644" s="39" t="s">
        <v>9</v>
      </c>
      <c r="E644" s="39" t="s">
        <v>10</v>
      </c>
      <c r="F644" s="139">
        <v>10.06</v>
      </c>
      <c r="G644" s="40" t="s">
        <v>271</v>
      </c>
      <c r="H644" s="43" cm="1">
        <f t="array" ref="H644">SUMPRODUCT(Tracking[Amount],--(Tracking[Date]&lt;=Tracking[[#This Row],[Date]]),(Tracking[Type]&lt;&gt;"Income")*(-1)+(Tracking[Type]="Income"))</f>
        <v>-2159.9999999999977</v>
      </c>
      <c r="I644" s="51">
        <f>IF(AND(Tracking[[#This Row],[Type]]="Income",shift_late_income_status="Active",DAY(Tracking[[#This Row],[Date]])&gt;=shift_late_income_starting_day),DATE(YEAR(Tracking[[#This Row],[Date]]),MONTH(Tracking[[#This Row],[Date]])+1,1),Tracking[[#This Row],[Date]])</f>
        <v>46114</v>
      </c>
    </row>
    <row r="645" spans="3:9" x14ac:dyDescent="0.3">
      <c r="C645" s="41">
        <v>46114</v>
      </c>
      <c r="D645" s="39" t="s">
        <v>9</v>
      </c>
      <c r="E645" s="39" t="s">
        <v>10</v>
      </c>
      <c r="F645" s="139">
        <v>11.72</v>
      </c>
      <c r="G645" s="40" t="s">
        <v>344</v>
      </c>
      <c r="H645" s="43" cm="1">
        <f t="array" ref="H645">SUMPRODUCT(Tracking[Amount],--(Tracking[Date]&lt;=Tracking[[#This Row],[Date]]),(Tracking[Type]&lt;&gt;"Income")*(-1)+(Tracking[Type]="Income"))</f>
        <v>-2159.9999999999977</v>
      </c>
      <c r="I645" s="51">
        <f>IF(AND(Tracking[[#This Row],[Type]]="Income",shift_late_income_status="Active",DAY(Tracking[[#This Row],[Date]])&gt;=shift_late_income_starting_day),DATE(YEAR(Tracking[[#This Row],[Date]]),MONTH(Tracking[[#This Row],[Date]])+1,1),Tracking[[#This Row],[Date]])</f>
        <v>46114</v>
      </c>
    </row>
    <row r="646" spans="3:9" x14ac:dyDescent="0.3">
      <c r="C646" s="41">
        <v>46115</v>
      </c>
      <c r="D646" s="39" t="s">
        <v>5</v>
      </c>
      <c r="E646" s="39" t="s">
        <v>103</v>
      </c>
      <c r="F646" s="139">
        <v>885.83</v>
      </c>
      <c r="G646" s="40"/>
      <c r="H646" s="43" cm="1">
        <f t="array" ref="H646">SUMPRODUCT(Tracking[Amount],--(Tracking[Date]&lt;=Tracking[[#This Row],[Date]]),(Tracking[Type]&lt;&gt;"Income")*(-1)+(Tracking[Type]="Income"))</f>
        <v>-1345.3099999999981</v>
      </c>
      <c r="I646" s="51">
        <f>IF(AND(Tracking[[#This Row],[Type]]="Income",shift_late_income_status="Active",DAY(Tracking[[#This Row],[Date]])&gt;=shift_late_income_starting_day),DATE(YEAR(Tracking[[#This Row],[Date]]),MONTH(Tracking[[#This Row],[Date]])+1,1),Tracking[[#This Row],[Date]])</f>
        <v>46115</v>
      </c>
    </row>
    <row r="647" spans="3:9" x14ac:dyDescent="0.3">
      <c r="C647" s="41">
        <v>46115</v>
      </c>
      <c r="D647" s="39" t="s">
        <v>9</v>
      </c>
      <c r="E647" s="39" t="s">
        <v>10</v>
      </c>
      <c r="F647" s="139">
        <v>2.8</v>
      </c>
      <c r="G647" s="40" t="s">
        <v>219</v>
      </c>
      <c r="H647" s="43" cm="1">
        <f t="array" ref="H647">SUMPRODUCT(Tracking[Amount],--(Tracking[Date]&lt;=Tracking[[#This Row],[Date]]),(Tracking[Type]&lt;&gt;"Income")*(-1)+(Tracking[Type]="Income"))</f>
        <v>-1345.3099999999981</v>
      </c>
      <c r="I647" s="51">
        <f>IF(AND(Tracking[[#This Row],[Type]]="Income",shift_late_income_status="Active",DAY(Tracking[[#This Row],[Date]])&gt;=shift_late_income_starting_day),DATE(YEAR(Tracking[[#This Row],[Date]]),MONTH(Tracking[[#This Row],[Date]])+1,1),Tracking[[#This Row],[Date]])</f>
        <v>46115</v>
      </c>
    </row>
    <row r="648" spans="3:9" x14ac:dyDescent="0.3">
      <c r="C648" s="41">
        <v>46115</v>
      </c>
      <c r="D648" s="39" t="s">
        <v>9</v>
      </c>
      <c r="E648" s="39" t="s">
        <v>12</v>
      </c>
      <c r="F648" s="139">
        <v>16.18</v>
      </c>
      <c r="G648" s="40" t="s">
        <v>289</v>
      </c>
      <c r="H648" s="43" cm="1">
        <f t="array" ref="H648">SUMPRODUCT(Tracking[Amount],--(Tracking[Date]&lt;=Tracking[[#This Row],[Date]]),(Tracking[Type]&lt;&gt;"Income")*(-1)+(Tracking[Type]="Income"))</f>
        <v>-1345.3099999999981</v>
      </c>
      <c r="I648" s="51">
        <f>IF(AND(Tracking[[#This Row],[Type]]="Income",shift_late_income_status="Active",DAY(Tracking[[#This Row],[Date]])&gt;=shift_late_income_starting_day),DATE(YEAR(Tracking[[#This Row],[Date]]),MONTH(Tracking[[#This Row],[Date]])+1,1),Tracking[[#This Row],[Date]])</f>
        <v>46115</v>
      </c>
    </row>
    <row r="649" spans="3:9" x14ac:dyDescent="0.3">
      <c r="C649" s="41">
        <v>46115</v>
      </c>
      <c r="D649" s="39" t="s">
        <v>9</v>
      </c>
      <c r="E649" s="39" t="s">
        <v>10</v>
      </c>
      <c r="F649" s="139">
        <v>5.39</v>
      </c>
      <c r="G649" s="40" t="s">
        <v>271</v>
      </c>
      <c r="H649" s="43" cm="1">
        <f t="array" ref="H649">SUMPRODUCT(Tracking[Amount],--(Tracking[Date]&lt;=Tracking[[#This Row],[Date]]),(Tracking[Type]&lt;&gt;"Income")*(-1)+(Tracking[Type]="Income"))</f>
        <v>-1345.3099999999981</v>
      </c>
      <c r="I649" s="51">
        <f>IF(AND(Tracking[[#This Row],[Type]]="Income",shift_late_income_status="Active",DAY(Tracking[[#This Row],[Date]])&gt;=shift_late_income_starting_day),DATE(YEAR(Tracking[[#This Row],[Date]]),MONTH(Tracking[[#This Row],[Date]])+1,1),Tracking[[#This Row],[Date]])</f>
        <v>46115</v>
      </c>
    </row>
    <row r="650" spans="3:9" x14ac:dyDescent="0.3">
      <c r="C650" s="41">
        <v>46115</v>
      </c>
      <c r="D650" s="39" t="s">
        <v>9</v>
      </c>
      <c r="E650" s="39" t="s">
        <v>10</v>
      </c>
      <c r="F650" s="139">
        <v>19.399999999999999</v>
      </c>
      <c r="G650" s="40" t="s">
        <v>271</v>
      </c>
      <c r="H650" s="43" cm="1">
        <f t="array" ref="H650">SUMPRODUCT(Tracking[Amount],--(Tracking[Date]&lt;=Tracking[[#This Row],[Date]]),(Tracking[Type]&lt;&gt;"Income")*(-1)+(Tracking[Type]="Income"))</f>
        <v>-1345.3099999999981</v>
      </c>
      <c r="I650" s="51">
        <f>IF(AND(Tracking[[#This Row],[Type]]="Income",shift_late_income_status="Active",DAY(Tracking[[#This Row],[Date]])&gt;=shift_late_income_starting_day),DATE(YEAR(Tracking[[#This Row],[Date]]),MONTH(Tracking[[#This Row],[Date]])+1,1),Tracking[[#This Row],[Date]])</f>
        <v>46115</v>
      </c>
    </row>
    <row r="651" spans="3:9" x14ac:dyDescent="0.3">
      <c r="C651" s="41">
        <v>46115</v>
      </c>
      <c r="D651" s="39" t="s">
        <v>9</v>
      </c>
      <c r="E651" s="39" t="s">
        <v>10</v>
      </c>
      <c r="F651" s="139">
        <v>17.21</v>
      </c>
      <c r="G651" s="40" t="s">
        <v>304</v>
      </c>
      <c r="H651" s="43" cm="1">
        <f t="array" ref="H651">SUMPRODUCT(Tracking[Amount],--(Tracking[Date]&lt;=Tracking[[#This Row],[Date]]),(Tracking[Type]&lt;&gt;"Income")*(-1)+(Tracking[Type]="Income"))</f>
        <v>-1345.3099999999981</v>
      </c>
      <c r="I651" s="51">
        <f>IF(AND(Tracking[[#This Row],[Type]]="Income",shift_late_income_status="Active",DAY(Tracking[[#This Row],[Date]])&gt;=shift_late_income_starting_day),DATE(YEAR(Tracking[[#This Row],[Date]]),MONTH(Tracking[[#This Row],[Date]])+1,1),Tracking[[#This Row],[Date]])</f>
        <v>46115</v>
      </c>
    </row>
    <row r="652" spans="3:9" x14ac:dyDescent="0.3">
      <c r="C652" s="41">
        <v>46115</v>
      </c>
      <c r="D652" s="39" t="s">
        <v>9</v>
      </c>
      <c r="E652" s="39" t="s">
        <v>10</v>
      </c>
      <c r="F652" s="139">
        <v>10.16</v>
      </c>
      <c r="G652" s="40" t="s">
        <v>145</v>
      </c>
      <c r="H652" s="43" cm="1">
        <f t="array" ref="H652">SUMPRODUCT(Tracking[Amount],--(Tracking[Date]&lt;=Tracking[[#This Row],[Date]]),(Tracking[Type]&lt;&gt;"Income")*(-1)+(Tracking[Type]="Income"))</f>
        <v>-1345.3099999999981</v>
      </c>
      <c r="I652" s="51">
        <f>IF(AND(Tracking[[#This Row],[Type]]="Income",shift_late_income_status="Active",DAY(Tracking[[#This Row],[Date]])&gt;=shift_late_income_starting_day),DATE(YEAR(Tracking[[#This Row],[Date]]),MONTH(Tracking[[#This Row],[Date]])+1,1),Tracking[[#This Row],[Date]])</f>
        <v>46115</v>
      </c>
    </row>
    <row r="653" spans="3:9" x14ac:dyDescent="0.3">
      <c r="C653" s="41">
        <v>46116</v>
      </c>
      <c r="D653" s="39" t="s">
        <v>14</v>
      </c>
      <c r="E653" s="39" t="s">
        <v>324</v>
      </c>
      <c r="F653" s="139">
        <v>378.01</v>
      </c>
      <c r="G653" s="40"/>
      <c r="H653" s="43" cm="1">
        <f t="array" ref="H653">SUMPRODUCT(Tracking[Amount],--(Tracking[Date]&lt;=Tracking[[#This Row],[Date]]),(Tracking[Type]&lt;&gt;"Income")*(-1)+(Tracking[Type]="Income"))</f>
        <v>-1723.3199999999981</v>
      </c>
      <c r="I653" s="51">
        <f>IF(AND(Tracking[[#This Row],[Type]]="Income",shift_late_income_status="Active",DAY(Tracking[[#This Row],[Date]])&gt;=shift_late_income_starting_day),DATE(YEAR(Tracking[[#This Row],[Date]]),MONTH(Tracking[[#This Row],[Date]])+1,1),Tracking[[#This Row],[Date]])</f>
        <v>46116</v>
      </c>
    </row>
    <row r="654" spans="3:9" x14ac:dyDescent="0.3">
      <c r="C654" s="41">
        <v>46118</v>
      </c>
      <c r="D654" s="39" t="s">
        <v>9</v>
      </c>
      <c r="E654" s="39" t="s">
        <v>10</v>
      </c>
      <c r="F654" s="139">
        <v>10.06</v>
      </c>
      <c r="G654" s="40" t="s">
        <v>271</v>
      </c>
      <c r="H654" s="43" cm="1">
        <f t="array" ref="H654">SUMPRODUCT(Tracking[Amount],--(Tracking[Date]&lt;=Tracking[[#This Row],[Date]]),(Tracking[Type]&lt;&gt;"Income")*(-1)+(Tracking[Type]="Income"))</f>
        <v>-1934.709999999998</v>
      </c>
      <c r="I654" s="51">
        <f>IF(AND(Tracking[[#This Row],[Type]]="Income",shift_late_income_status="Active",DAY(Tracking[[#This Row],[Date]])&gt;=shift_late_income_starting_day),DATE(YEAR(Tracking[[#This Row],[Date]]),MONTH(Tracking[[#This Row],[Date]])+1,1),Tracking[[#This Row],[Date]])</f>
        <v>46118</v>
      </c>
    </row>
    <row r="655" spans="3:9" x14ac:dyDescent="0.3">
      <c r="C655" s="41">
        <v>46118</v>
      </c>
      <c r="D655" s="39" t="s">
        <v>9</v>
      </c>
      <c r="E655" s="39" t="s">
        <v>10</v>
      </c>
      <c r="F655" s="139">
        <v>12.34</v>
      </c>
      <c r="G655" s="40" t="s">
        <v>331</v>
      </c>
      <c r="H655" s="43" cm="1">
        <f t="array" ref="H655">SUMPRODUCT(Tracking[Amount],--(Tracking[Date]&lt;=Tracking[[#This Row],[Date]]),(Tracking[Type]&lt;&gt;"Income")*(-1)+(Tracking[Type]="Income"))</f>
        <v>-1934.709999999998</v>
      </c>
      <c r="I655" s="51">
        <f>IF(AND(Tracking[[#This Row],[Type]]="Income",shift_late_income_status="Active",DAY(Tracking[[#This Row],[Date]])&gt;=shift_late_income_starting_day),DATE(YEAR(Tracking[[#This Row],[Date]]),MONTH(Tracking[[#This Row],[Date]])+1,1),Tracking[[#This Row],[Date]])</f>
        <v>46118</v>
      </c>
    </row>
    <row r="656" spans="3:9" x14ac:dyDescent="0.3">
      <c r="C656" s="41">
        <v>46118</v>
      </c>
      <c r="D656" s="39" t="s">
        <v>9</v>
      </c>
      <c r="E656" s="39" t="s">
        <v>10</v>
      </c>
      <c r="F656" s="139">
        <v>12.72</v>
      </c>
      <c r="G656" s="40" t="s">
        <v>252</v>
      </c>
      <c r="H656" s="43" cm="1">
        <f t="array" ref="H656">SUMPRODUCT(Tracking[Amount],--(Tracking[Date]&lt;=Tracking[[#This Row],[Date]]),(Tracking[Type]&lt;&gt;"Income")*(-1)+(Tracking[Type]="Income"))</f>
        <v>-1934.709999999998</v>
      </c>
      <c r="I656" s="51">
        <f>IF(AND(Tracking[[#This Row],[Type]]="Income",shift_late_income_status="Active",DAY(Tracking[[#This Row],[Date]])&gt;=shift_late_income_starting_day),DATE(YEAR(Tracking[[#This Row],[Date]]),MONTH(Tracking[[#This Row],[Date]])+1,1),Tracking[[#This Row],[Date]])</f>
        <v>46118</v>
      </c>
    </row>
    <row r="657" spans="3:9" x14ac:dyDescent="0.3">
      <c r="C657" s="41">
        <v>46118</v>
      </c>
      <c r="D657" s="39" t="s">
        <v>9</v>
      </c>
      <c r="E657" s="39" t="s">
        <v>10</v>
      </c>
      <c r="F657" s="139">
        <v>16.43</v>
      </c>
      <c r="G657" s="40" t="s">
        <v>145</v>
      </c>
      <c r="H657" s="43" cm="1">
        <f t="array" ref="H657">SUMPRODUCT(Tracking[Amount],--(Tracking[Date]&lt;=Tracking[[#This Row],[Date]]),(Tracking[Type]&lt;&gt;"Income")*(-1)+(Tracking[Type]="Income"))</f>
        <v>-1934.709999999998</v>
      </c>
      <c r="I657" s="51">
        <f>IF(AND(Tracking[[#This Row],[Type]]="Income",shift_late_income_status="Active",DAY(Tracking[[#This Row],[Date]])&gt;=shift_late_income_starting_day),DATE(YEAR(Tracking[[#This Row],[Date]]),MONTH(Tracking[[#This Row],[Date]])+1,1),Tracking[[#This Row],[Date]])</f>
        <v>46118</v>
      </c>
    </row>
    <row r="658" spans="3:9" x14ac:dyDescent="0.3">
      <c r="C658" s="41">
        <v>46118</v>
      </c>
      <c r="D658" s="39" t="s">
        <v>9</v>
      </c>
      <c r="E658" s="39" t="s">
        <v>108</v>
      </c>
      <c r="F658" s="139">
        <v>17.260000000000002</v>
      </c>
      <c r="G658" s="40" t="s">
        <v>183</v>
      </c>
      <c r="H658" s="43" cm="1">
        <f t="array" ref="H658">SUMPRODUCT(Tracking[Amount],--(Tracking[Date]&lt;=Tracking[[#This Row],[Date]]),(Tracking[Type]&lt;&gt;"Income")*(-1)+(Tracking[Type]="Income"))</f>
        <v>-1934.709999999998</v>
      </c>
      <c r="I658" s="51">
        <f>IF(AND(Tracking[[#This Row],[Type]]="Income",shift_late_income_status="Active",DAY(Tracking[[#This Row],[Date]])&gt;=shift_late_income_starting_day),DATE(YEAR(Tracking[[#This Row],[Date]]),MONTH(Tracking[[#This Row],[Date]])+1,1),Tracking[[#This Row],[Date]])</f>
        <v>46118</v>
      </c>
    </row>
    <row r="659" spans="3:9" x14ac:dyDescent="0.3">
      <c r="C659" s="41">
        <v>46118</v>
      </c>
      <c r="D659" s="39" t="s">
        <v>9</v>
      </c>
      <c r="E659" s="173" t="s">
        <v>10</v>
      </c>
      <c r="F659" s="139">
        <v>62.85</v>
      </c>
      <c r="G659" s="40" t="s">
        <v>345</v>
      </c>
      <c r="H659" s="43" cm="1">
        <f t="array" ref="H659">SUMPRODUCT(Tracking[Amount],--(Tracking[Date]&lt;=Tracking[[#This Row],[Date]]),(Tracking[Type]&lt;&gt;"Income")*(-1)+(Tracking[Type]="Income"))</f>
        <v>-1934.709999999998</v>
      </c>
      <c r="I659" s="51">
        <f>IF(AND(Tracking[[#This Row],[Type]]="Income",shift_late_income_status="Active",DAY(Tracking[[#This Row],[Date]])&gt;=shift_late_income_starting_day),DATE(YEAR(Tracking[[#This Row],[Date]]),MONTH(Tracking[[#This Row],[Date]])+1,1),Tracking[[#This Row],[Date]])</f>
        <v>46118</v>
      </c>
    </row>
    <row r="660" spans="3:9" x14ac:dyDescent="0.3">
      <c r="C660" s="41">
        <v>46118</v>
      </c>
      <c r="D660" s="39" t="s">
        <v>9</v>
      </c>
      <c r="E660" s="39" t="s">
        <v>108</v>
      </c>
      <c r="F660" s="139">
        <v>64.819999999999993</v>
      </c>
      <c r="G660" s="40" t="s">
        <v>346</v>
      </c>
      <c r="H660" s="43" cm="1">
        <f t="array" ref="H660">SUMPRODUCT(Tracking[Amount],--(Tracking[Date]&lt;=Tracking[[#This Row],[Date]]),(Tracking[Type]&lt;&gt;"Income")*(-1)+(Tracking[Type]="Income"))</f>
        <v>-1934.709999999998</v>
      </c>
      <c r="I660" s="51">
        <f>IF(AND(Tracking[[#This Row],[Type]]="Income",shift_late_income_status="Active",DAY(Tracking[[#This Row],[Date]])&gt;=shift_late_income_starting_day),DATE(YEAR(Tracking[[#This Row],[Date]]),MONTH(Tracking[[#This Row],[Date]])+1,1),Tracking[[#This Row],[Date]])</f>
        <v>46118</v>
      </c>
    </row>
    <row r="661" spans="3:9" x14ac:dyDescent="0.3">
      <c r="C661" s="41">
        <v>46118</v>
      </c>
      <c r="D661" s="39" t="s">
        <v>9</v>
      </c>
      <c r="E661" s="39" t="s">
        <v>10</v>
      </c>
      <c r="F661" s="139">
        <v>14.91</v>
      </c>
      <c r="G661" s="40" t="s">
        <v>347</v>
      </c>
      <c r="H661" s="43" cm="1">
        <f t="array" ref="H661">SUMPRODUCT(Tracking[Amount],--(Tracking[Date]&lt;=Tracking[[#This Row],[Date]]),(Tracking[Type]&lt;&gt;"Income")*(-1)+(Tracking[Type]="Income"))</f>
        <v>-1934.709999999998</v>
      </c>
      <c r="I661" s="51">
        <f>IF(AND(Tracking[[#This Row],[Type]]="Income",shift_late_income_status="Active",DAY(Tracking[[#This Row],[Date]])&gt;=shift_late_income_starting_day),DATE(YEAR(Tracking[[#This Row],[Date]]),MONTH(Tracking[[#This Row],[Date]])+1,1),Tracking[[#This Row],[Date]])</f>
        <v>46118</v>
      </c>
    </row>
    <row r="662" spans="3:9" x14ac:dyDescent="0.3">
      <c r="C662" s="41">
        <v>46119</v>
      </c>
      <c r="D662" s="39" t="s">
        <v>14</v>
      </c>
      <c r="E662" s="39" t="s">
        <v>324</v>
      </c>
      <c r="F662" s="139">
        <v>378.01</v>
      </c>
      <c r="G662" s="40"/>
      <c r="H662" s="43" cm="1">
        <f t="array" ref="H662">SUMPRODUCT(Tracking[Amount],--(Tracking[Date]&lt;=Tracking[[#This Row],[Date]]),(Tracking[Type]&lt;&gt;"Income")*(-1)+(Tracking[Type]="Income"))</f>
        <v>-2329.489999999998</v>
      </c>
      <c r="I662" s="51">
        <f>IF(AND(Tracking[[#This Row],[Type]]="Income",shift_late_income_status="Active",DAY(Tracking[[#This Row],[Date]])&gt;=shift_late_income_starting_day),DATE(YEAR(Tracking[[#This Row],[Date]]),MONTH(Tracking[[#This Row],[Date]])+1,1),Tracking[[#This Row],[Date]])</f>
        <v>46119</v>
      </c>
    </row>
    <row r="663" spans="3:9" x14ac:dyDescent="0.3">
      <c r="C663" s="41">
        <v>46119</v>
      </c>
      <c r="D663" s="39" t="s">
        <v>9</v>
      </c>
      <c r="E663" s="39" t="s">
        <v>10</v>
      </c>
      <c r="F663" s="139">
        <v>10.06</v>
      </c>
      <c r="G663" s="40" t="s">
        <v>271</v>
      </c>
      <c r="H663" s="43" cm="1">
        <f t="array" ref="H663">SUMPRODUCT(Tracking[Amount],--(Tracking[Date]&lt;=Tracking[[#This Row],[Date]]),(Tracking[Type]&lt;&gt;"Income")*(-1)+(Tracking[Type]="Income"))</f>
        <v>-2329.489999999998</v>
      </c>
      <c r="I663" s="51">
        <f>IF(AND(Tracking[[#This Row],[Type]]="Income",shift_late_income_status="Active",DAY(Tracking[[#This Row],[Date]])&gt;=shift_late_income_starting_day),DATE(YEAR(Tracking[[#This Row],[Date]]),MONTH(Tracking[[#This Row],[Date]])+1,1),Tracking[[#This Row],[Date]])</f>
        <v>46119</v>
      </c>
    </row>
    <row r="664" spans="3:9" x14ac:dyDescent="0.3">
      <c r="C664" s="41">
        <v>46119</v>
      </c>
      <c r="D664" s="39" t="s">
        <v>9</v>
      </c>
      <c r="E664" s="39" t="s">
        <v>10</v>
      </c>
      <c r="F664" s="139">
        <v>6.71</v>
      </c>
      <c r="G664" s="40" t="s">
        <v>277</v>
      </c>
      <c r="H664" s="43" cm="1">
        <f t="array" ref="H664">SUMPRODUCT(Tracking[Amount],--(Tracking[Date]&lt;=Tracking[[#This Row],[Date]]),(Tracking[Type]&lt;&gt;"Income")*(-1)+(Tracking[Type]="Income"))</f>
        <v>-2329.489999999998</v>
      </c>
      <c r="I664" s="51">
        <f>IF(AND(Tracking[[#This Row],[Type]]="Income",shift_late_income_status="Active",DAY(Tracking[[#This Row],[Date]])&gt;=shift_late_income_starting_day),DATE(YEAR(Tracking[[#This Row],[Date]]),MONTH(Tracking[[#This Row],[Date]])+1,1),Tracking[[#This Row],[Date]])</f>
        <v>46119</v>
      </c>
    </row>
    <row r="665" spans="3:9" x14ac:dyDescent="0.3">
      <c r="C665" s="41">
        <v>46121</v>
      </c>
      <c r="D665" s="39" t="s">
        <v>9</v>
      </c>
      <c r="E665" s="39" t="s">
        <v>10</v>
      </c>
      <c r="F665" s="139">
        <v>20.79</v>
      </c>
      <c r="G665" s="40" t="s">
        <v>271</v>
      </c>
      <c r="H665" s="43" cm="1">
        <f t="array" ref="H665">SUMPRODUCT(Tracking[Amount],--(Tracking[Date]&lt;=Tracking[[#This Row],[Date]]),(Tracking[Type]&lt;&gt;"Income")*(-1)+(Tracking[Type]="Income"))</f>
        <v>-2399.3199999999979</v>
      </c>
      <c r="I665" s="51">
        <f>IF(AND(Tracking[[#This Row],[Type]]="Income",shift_late_income_status="Active",DAY(Tracking[[#This Row],[Date]])&gt;=shift_late_income_starting_day),DATE(YEAR(Tracking[[#This Row],[Date]]),MONTH(Tracking[[#This Row],[Date]])+1,1),Tracking[[#This Row],[Date]])</f>
        <v>46121</v>
      </c>
    </row>
    <row r="666" spans="3:9" x14ac:dyDescent="0.3">
      <c r="C666" s="41">
        <v>46121</v>
      </c>
      <c r="D666" s="39" t="s">
        <v>9</v>
      </c>
      <c r="E666" s="39" t="s">
        <v>10</v>
      </c>
      <c r="F666" s="139">
        <v>23.38</v>
      </c>
      <c r="G666" s="40" t="s">
        <v>304</v>
      </c>
      <c r="H666" s="43" cm="1">
        <f t="array" ref="H666">SUMPRODUCT(Tracking[Amount],--(Tracking[Date]&lt;=Tracking[[#This Row],[Date]]),(Tracking[Type]&lt;&gt;"Income")*(-1)+(Tracking[Type]="Income"))</f>
        <v>-2399.3199999999979</v>
      </c>
      <c r="I666" s="51">
        <f>IF(AND(Tracking[[#This Row],[Type]]="Income",shift_late_income_status="Active",DAY(Tracking[[#This Row],[Date]])&gt;=shift_late_income_starting_day),DATE(YEAR(Tracking[[#This Row],[Date]]),MONTH(Tracking[[#This Row],[Date]])+1,1),Tracking[[#This Row],[Date]])</f>
        <v>46121</v>
      </c>
    </row>
    <row r="667" spans="3:9" x14ac:dyDescent="0.3">
      <c r="C667" s="41">
        <v>46121</v>
      </c>
      <c r="D667" s="39" t="s">
        <v>9</v>
      </c>
      <c r="E667" s="39" t="s">
        <v>10</v>
      </c>
      <c r="F667" s="139">
        <v>25.66</v>
      </c>
      <c r="G667" s="40" t="s">
        <v>177</v>
      </c>
      <c r="H667" s="43" cm="1">
        <f t="array" ref="H667">SUMPRODUCT(Tracking[Amount],--(Tracking[Date]&lt;=Tracking[[#This Row],[Date]]),(Tracking[Type]&lt;&gt;"Income")*(-1)+(Tracking[Type]="Income"))</f>
        <v>-2399.3199999999979</v>
      </c>
      <c r="I667" s="51">
        <f>IF(AND(Tracking[[#This Row],[Type]]="Income",shift_late_income_status="Active",DAY(Tracking[[#This Row],[Date]])&gt;=shift_late_income_starting_day),DATE(YEAR(Tracking[[#This Row],[Date]]),MONTH(Tracking[[#This Row],[Date]])+1,1),Tracking[[#This Row],[Date]])</f>
        <v>46121</v>
      </c>
    </row>
    <row r="668" spans="3:9" x14ac:dyDescent="0.3">
      <c r="C668" s="41">
        <v>46122</v>
      </c>
      <c r="D668" s="39" t="s">
        <v>9</v>
      </c>
      <c r="E668" s="39" t="s">
        <v>111</v>
      </c>
      <c r="F668" s="139">
        <v>11.5</v>
      </c>
      <c r="G668" s="40" t="s">
        <v>348</v>
      </c>
      <c r="H668" s="43" cm="1">
        <f t="array" ref="H668">SUMPRODUCT(Tracking[Amount],--(Tracking[Date]&lt;=Tracking[[#This Row],[Date]]),(Tracking[Type]&lt;&gt;"Income")*(-1)+(Tracking[Type]="Income"))</f>
        <v>-2426.5099999999979</v>
      </c>
      <c r="I668" s="51">
        <f>IF(AND(Tracking[[#This Row],[Type]]="Income",shift_late_income_status="Active",DAY(Tracking[[#This Row],[Date]])&gt;=shift_late_income_starting_day),DATE(YEAR(Tracking[[#This Row],[Date]]),MONTH(Tracking[[#This Row],[Date]])+1,1),Tracking[[#This Row],[Date]])</f>
        <v>46122</v>
      </c>
    </row>
    <row r="669" spans="3:9" x14ac:dyDescent="0.3">
      <c r="C669" s="41">
        <v>46122</v>
      </c>
      <c r="D669" s="39" t="s">
        <v>9</v>
      </c>
      <c r="E669" s="39" t="s">
        <v>10</v>
      </c>
      <c r="F669" s="139">
        <v>15.69</v>
      </c>
      <c r="G669" s="40" t="s">
        <v>171</v>
      </c>
      <c r="H669" s="43" cm="1">
        <f t="array" ref="H669">SUMPRODUCT(Tracking[Amount],--(Tracking[Date]&lt;=Tracking[[#This Row],[Date]]),(Tracking[Type]&lt;&gt;"Income")*(-1)+(Tracking[Type]="Income"))</f>
        <v>-2426.5099999999979</v>
      </c>
      <c r="I669" s="51">
        <f>IF(AND(Tracking[[#This Row],[Type]]="Income",shift_late_income_status="Active",DAY(Tracking[[#This Row],[Date]])&gt;=shift_late_income_starting_day),DATE(YEAR(Tracking[[#This Row],[Date]]),MONTH(Tracking[[#This Row],[Date]])+1,1),Tracking[[#This Row],[Date]])</f>
        <v>46122</v>
      </c>
    </row>
    <row r="670" spans="3:9" x14ac:dyDescent="0.3">
      <c r="C670" s="41">
        <v>46123</v>
      </c>
      <c r="D670" s="39" t="s">
        <v>9</v>
      </c>
      <c r="E670" s="39" t="s">
        <v>10</v>
      </c>
      <c r="F670" s="139">
        <v>10.06</v>
      </c>
      <c r="G670" s="40" t="s">
        <v>271</v>
      </c>
      <c r="H670" s="43" cm="1">
        <f t="array" ref="H670">SUMPRODUCT(Tracking[Amount],--(Tracking[Date]&lt;=Tracking[[#This Row],[Date]]),(Tracking[Type]&lt;&gt;"Income")*(-1)+(Tracking[Type]="Income"))</f>
        <v>-2505.5199999999977</v>
      </c>
      <c r="I670" s="51">
        <f>IF(AND(Tracking[[#This Row],[Type]]="Income",shift_late_income_status="Active",DAY(Tracking[[#This Row],[Date]])&gt;=shift_late_income_starting_day),DATE(YEAR(Tracking[[#This Row],[Date]]),MONTH(Tracking[[#This Row],[Date]])+1,1),Tracking[[#This Row],[Date]])</f>
        <v>46123</v>
      </c>
    </row>
    <row r="671" spans="3:9" x14ac:dyDescent="0.3">
      <c r="C671" s="41">
        <v>46123</v>
      </c>
      <c r="D671" s="39" t="s">
        <v>9</v>
      </c>
      <c r="E671" s="39" t="s">
        <v>10</v>
      </c>
      <c r="F671" s="139">
        <v>18.62</v>
      </c>
      <c r="G671" s="40" t="s">
        <v>331</v>
      </c>
      <c r="H671" s="43" cm="1">
        <f t="array" ref="H671">SUMPRODUCT(Tracking[Amount],--(Tracking[Date]&lt;=Tracking[[#This Row],[Date]]),(Tracking[Type]&lt;&gt;"Income")*(-1)+(Tracking[Type]="Income"))</f>
        <v>-2505.5199999999977</v>
      </c>
      <c r="I671" s="51">
        <f>IF(AND(Tracking[[#This Row],[Type]]="Income",shift_late_income_status="Active",DAY(Tracking[[#This Row],[Date]])&gt;=shift_late_income_starting_day),DATE(YEAR(Tracking[[#This Row],[Date]]),MONTH(Tracking[[#This Row],[Date]])+1,1),Tracking[[#This Row],[Date]])</f>
        <v>46123</v>
      </c>
    </row>
    <row r="672" spans="3:9" x14ac:dyDescent="0.3">
      <c r="C672" s="41">
        <v>46123</v>
      </c>
      <c r="D672" s="39" t="s">
        <v>9</v>
      </c>
      <c r="E672" s="39" t="s">
        <v>12</v>
      </c>
      <c r="F672" s="139">
        <v>18.62</v>
      </c>
      <c r="G672" s="40" t="s">
        <v>182</v>
      </c>
      <c r="H672" s="43" cm="1">
        <f t="array" ref="H672">SUMPRODUCT(Tracking[Amount],--(Tracking[Date]&lt;=Tracking[[#This Row],[Date]]),(Tracking[Type]&lt;&gt;"Income")*(-1)+(Tracking[Type]="Income"))</f>
        <v>-2505.5199999999977</v>
      </c>
      <c r="I672" s="51">
        <f>IF(AND(Tracking[[#This Row],[Type]]="Income",shift_late_income_status="Active",DAY(Tracking[[#This Row],[Date]])&gt;=shift_late_income_starting_day),DATE(YEAR(Tracking[[#This Row],[Date]]),MONTH(Tracking[[#This Row],[Date]])+1,1),Tracking[[#This Row],[Date]])</f>
        <v>46123</v>
      </c>
    </row>
    <row r="673" spans="3:9" x14ac:dyDescent="0.3">
      <c r="C673" s="41">
        <v>46123</v>
      </c>
      <c r="D673" s="39" t="s">
        <v>9</v>
      </c>
      <c r="E673" s="39" t="s">
        <v>10</v>
      </c>
      <c r="F673" s="139">
        <v>6.38</v>
      </c>
      <c r="G673" s="40" t="s">
        <v>344</v>
      </c>
      <c r="H673" s="43" cm="1">
        <f t="array" ref="H673">SUMPRODUCT(Tracking[Amount],--(Tracking[Date]&lt;=Tracking[[#This Row],[Date]]),(Tracking[Type]&lt;&gt;"Income")*(-1)+(Tracking[Type]="Income"))</f>
        <v>-2505.5199999999977</v>
      </c>
      <c r="I673" s="51">
        <f>IF(AND(Tracking[[#This Row],[Type]]="Income",shift_late_income_status="Active",DAY(Tracking[[#This Row],[Date]])&gt;=shift_late_income_starting_day),DATE(YEAR(Tracking[[#This Row],[Date]]),MONTH(Tracking[[#This Row],[Date]])+1,1),Tracking[[#This Row],[Date]])</f>
        <v>46123</v>
      </c>
    </row>
    <row r="674" spans="3:9" x14ac:dyDescent="0.3">
      <c r="C674" s="41">
        <v>46123</v>
      </c>
      <c r="D674" s="39" t="s">
        <v>9</v>
      </c>
      <c r="E674" s="39" t="s">
        <v>10</v>
      </c>
      <c r="F674" s="139">
        <v>25.33</v>
      </c>
      <c r="G674" s="40" t="s">
        <v>331</v>
      </c>
      <c r="H674" s="43" cm="1">
        <f t="array" ref="H674">SUMPRODUCT(Tracking[Amount],--(Tracking[Date]&lt;=Tracking[[#This Row],[Date]]),(Tracking[Type]&lt;&gt;"Income")*(-1)+(Tracking[Type]="Income"))</f>
        <v>-2505.5199999999977</v>
      </c>
      <c r="I674" s="51">
        <f>IF(AND(Tracking[[#This Row],[Type]]="Income",shift_late_income_status="Active",DAY(Tracking[[#This Row],[Date]])&gt;=shift_late_income_starting_day),DATE(YEAR(Tracking[[#This Row],[Date]]),MONTH(Tracking[[#This Row],[Date]])+1,1),Tracking[[#This Row],[Date]])</f>
        <v>46123</v>
      </c>
    </row>
    <row r="675" spans="3:9" x14ac:dyDescent="0.3">
      <c r="C675" s="41">
        <v>46125</v>
      </c>
      <c r="D675" s="39" t="s">
        <v>9</v>
      </c>
      <c r="E675" s="39" t="s">
        <v>10</v>
      </c>
      <c r="F675" s="139">
        <v>10.06</v>
      </c>
      <c r="G675" s="40" t="s">
        <v>271</v>
      </c>
      <c r="H675" s="43" cm="1">
        <f t="array" ref="H675">SUMPRODUCT(Tracking[Amount],--(Tracking[Date]&lt;=Tracking[[#This Row],[Date]]),(Tracking[Type]&lt;&gt;"Income")*(-1)+(Tracking[Type]="Income"))</f>
        <v>-2515.5799999999977</v>
      </c>
      <c r="I675" s="51">
        <f>IF(AND(Tracking[[#This Row],[Type]]="Income",shift_late_income_status="Active",DAY(Tracking[[#This Row],[Date]])&gt;=shift_late_income_starting_day),DATE(YEAR(Tracking[[#This Row],[Date]]),MONTH(Tracking[[#This Row],[Date]])+1,1),Tracking[[#This Row],[Date]])</f>
        <v>46125</v>
      </c>
    </row>
    <row r="676" spans="3:9" x14ac:dyDescent="0.3">
      <c r="C676" s="41">
        <v>46127</v>
      </c>
      <c r="D676" s="39" t="s">
        <v>9</v>
      </c>
      <c r="E676" s="39" t="s">
        <v>10</v>
      </c>
      <c r="F676" s="139">
        <v>6.71</v>
      </c>
      <c r="G676" s="40" t="s">
        <v>277</v>
      </c>
      <c r="H676" s="43" cm="1">
        <f t="array" ref="H676">SUMPRODUCT(Tracking[Amount],--(Tracking[Date]&lt;=Tracking[[#This Row],[Date]]),(Tracking[Type]&lt;&gt;"Income")*(-1)+(Tracking[Type]="Income"))</f>
        <v>-2522.2899999999977</v>
      </c>
      <c r="I676" s="51">
        <f>IF(AND(Tracking[[#This Row],[Type]]="Income",shift_late_income_status="Active",DAY(Tracking[[#This Row],[Date]])&gt;=shift_late_income_starting_day),DATE(YEAR(Tracking[[#This Row],[Date]]),MONTH(Tracking[[#This Row],[Date]])+1,1),Tracking[[#This Row],[Date]])</f>
        <v>46127</v>
      </c>
    </row>
    <row r="677" spans="3:9" x14ac:dyDescent="0.3">
      <c r="C677" s="65">
        <v>46128</v>
      </c>
      <c r="D677" s="66" t="s">
        <v>9</v>
      </c>
      <c r="E677" s="66" t="s">
        <v>10</v>
      </c>
      <c r="F677" s="140">
        <v>6.71</v>
      </c>
      <c r="G677" s="40" t="s">
        <v>277</v>
      </c>
      <c r="H677" s="43" cm="1">
        <f t="array" ref="H677">SUMPRODUCT(Tracking[Amount],--(Tracking[Date]&lt;=Tracking[[#This Row],[Date]]),(Tracking[Type]&lt;&gt;"Income")*(-1)+(Tracking[Type]="Income"))</f>
        <v>-2582.0699999999974</v>
      </c>
      <c r="I677" s="51">
        <f>IF(AND(Tracking[[#This Row],[Type]]="Income",shift_late_income_status="Active",DAY(Tracking[[#This Row],[Date]])&gt;=shift_late_income_starting_day),DATE(YEAR(Tracking[[#This Row],[Date]]),MONTH(Tracking[[#This Row],[Date]])+1,1),Tracking[[#This Row],[Date]])</f>
        <v>46128</v>
      </c>
    </row>
    <row r="678" spans="3:9" x14ac:dyDescent="0.3">
      <c r="C678" s="41">
        <v>46128</v>
      </c>
      <c r="D678" s="39" t="s">
        <v>9</v>
      </c>
      <c r="E678" s="39" t="s">
        <v>10</v>
      </c>
      <c r="F678" s="139">
        <v>16.63</v>
      </c>
      <c r="G678" s="40" t="s">
        <v>271</v>
      </c>
      <c r="H678" s="43" cm="1">
        <f t="array" ref="H678">SUMPRODUCT(Tracking[Amount],--(Tracking[Date]&lt;=Tracking[[#This Row],[Date]]),(Tracking[Type]&lt;&gt;"Income")*(-1)+(Tracking[Type]="Income"))</f>
        <v>-2582.0699999999974</v>
      </c>
      <c r="I678" s="51">
        <f>IF(AND(Tracking[[#This Row],[Type]]="Income",shift_late_income_status="Active",DAY(Tracking[[#This Row],[Date]])&gt;=shift_late_income_starting_day),DATE(YEAR(Tracking[[#This Row],[Date]]),MONTH(Tracking[[#This Row],[Date]])+1,1),Tracking[[#This Row],[Date]])</f>
        <v>46128</v>
      </c>
    </row>
    <row r="679" spans="3:9" x14ac:dyDescent="0.3">
      <c r="C679" s="65">
        <v>46128</v>
      </c>
      <c r="D679" s="66" t="s">
        <v>9</v>
      </c>
      <c r="E679" s="66" t="s">
        <v>10</v>
      </c>
      <c r="F679" s="140">
        <v>10.06</v>
      </c>
      <c r="G679" s="40" t="s">
        <v>271</v>
      </c>
      <c r="H679" s="43" cm="1">
        <f t="array" ref="H679">SUMPRODUCT(Tracking[Amount],--(Tracking[Date]&lt;=Tracking[[#This Row],[Date]]),(Tracking[Type]&lt;&gt;"Income")*(-1)+(Tracking[Type]="Income"))</f>
        <v>-2582.0699999999974</v>
      </c>
      <c r="I679" s="51">
        <f>IF(AND(Tracking[[#This Row],[Type]]="Income",shift_late_income_status="Active",DAY(Tracking[[#This Row],[Date]])&gt;=shift_late_income_starting_day),DATE(YEAR(Tracking[[#This Row],[Date]]),MONTH(Tracking[[#This Row],[Date]])+1,1),Tracking[[#This Row],[Date]])</f>
        <v>46128</v>
      </c>
    </row>
    <row r="680" spans="3:9" x14ac:dyDescent="0.3">
      <c r="C680" s="65">
        <v>46128</v>
      </c>
      <c r="D680" s="66" t="s">
        <v>9</v>
      </c>
      <c r="E680" s="66" t="s">
        <v>10</v>
      </c>
      <c r="F680" s="140">
        <v>13.18</v>
      </c>
      <c r="G680" s="40" t="s">
        <v>271</v>
      </c>
      <c r="H680" s="43" cm="1">
        <f t="array" ref="H680">SUMPRODUCT(Tracking[Amount],--(Tracking[Date]&lt;=Tracking[[#This Row],[Date]]),(Tracking[Type]&lt;&gt;"Income")*(-1)+(Tracking[Type]="Income"))</f>
        <v>-2582.0699999999974</v>
      </c>
      <c r="I680" s="51">
        <f>IF(AND(Tracking[[#This Row],[Type]]="Income",shift_late_income_status="Active",DAY(Tracking[[#This Row],[Date]])&gt;=shift_late_income_starting_day),DATE(YEAR(Tracking[[#This Row],[Date]]),MONTH(Tracking[[#This Row],[Date]])+1,1),Tracking[[#This Row],[Date]])</f>
        <v>46128</v>
      </c>
    </row>
    <row r="681" spans="3:9" x14ac:dyDescent="0.3">
      <c r="C681" s="41">
        <v>46128</v>
      </c>
      <c r="D681" s="39" t="s">
        <v>9</v>
      </c>
      <c r="E681" s="39" t="s">
        <v>10</v>
      </c>
      <c r="F681" s="139">
        <v>13.2</v>
      </c>
      <c r="G681" s="40" t="s">
        <v>173</v>
      </c>
      <c r="H681" s="43" cm="1">
        <f t="array" ref="H681">SUMPRODUCT(Tracking[Amount],--(Tracking[Date]&lt;=Tracking[[#This Row],[Date]]),(Tracking[Type]&lt;&gt;"Income")*(-1)+(Tracking[Type]="Income"))</f>
        <v>-2582.0699999999974</v>
      </c>
      <c r="I681" s="51">
        <f>IF(AND(Tracking[[#This Row],[Type]]="Income",shift_late_income_status="Active",DAY(Tracking[[#This Row],[Date]])&gt;=shift_late_income_starting_day),DATE(YEAR(Tracking[[#This Row],[Date]]),MONTH(Tracking[[#This Row],[Date]])+1,1),Tracking[[#This Row],[Date]])</f>
        <v>46128</v>
      </c>
    </row>
    <row r="682" spans="3:9" x14ac:dyDescent="0.3">
      <c r="C682" s="41">
        <v>46129</v>
      </c>
      <c r="D682" s="39" t="s">
        <v>9</v>
      </c>
      <c r="E682" s="39" t="s">
        <v>10</v>
      </c>
      <c r="F682" s="139">
        <v>10.06</v>
      </c>
      <c r="G682" s="40" t="s">
        <v>271</v>
      </c>
      <c r="H682" s="43" cm="1">
        <f t="array" ref="H682">SUMPRODUCT(Tracking[Amount],--(Tracking[Date]&lt;=Tracking[[#This Row],[Date]]),(Tracking[Type]&lt;&gt;"Income")*(-1)+(Tracking[Type]="Income"))</f>
        <v>-1701.3599999999974</v>
      </c>
      <c r="I682" s="51">
        <f>IF(AND(Tracking[[#This Row],[Type]]="Income",shift_late_income_status="Active",DAY(Tracking[[#This Row],[Date]])&gt;=shift_late_income_starting_day),DATE(YEAR(Tracking[[#This Row],[Date]]),MONTH(Tracking[[#This Row],[Date]])+1,1),Tracking[[#This Row],[Date]])</f>
        <v>46129</v>
      </c>
    </row>
    <row r="683" spans="3:9" x14ac:dyDescent="0.3">
      <c r="C683" s="41">
        <v>46129</v>
      </c>
      <c r="D683" s="39" t="s">
        <v>5</v>
      </c>
      <c r="E683" s="39" t="s">
        <v>103</v>
      </c>
      <c r="F683" s="139">
        <v>903.76</v>
      </c>
      <c r="G683" s="40"/>
      <c r="H683" s="43" cm="1">
        <f t="array" ref="H683">SUMPRODUCT(Tracking[Amount],--(Tracking[Date]&lt;=Tracking[[#This Row],[Date]]),(Tracking[Type]&lt;&gt;"Income")*(-1)+(Tracking[Type]="Income"))</f>
        <v>-1701.3599999999974</v>
      </c>
      <c r="I683" s="51">
        <f>IF(AND(Tracking[[#This Row],[Type]]="Income",shift_late_income_status="Active",DAY(Tracking[[#This Row],[Date]])&gt;=shift_late_income_starting_day),DATE(YEAR(Tracking[[#This Row],[Date]]),MONTH(Tracking[[#This Row],[Date]])+1,1),Tracking[[#This Row],[Date]])</f>
        <v>46129</v>
      </c>
    </row>
    <row r="684" spans="3:9" x14ac:dyDescent="0.3">
      <c r="C684" s="41">
        <v>46129</v>
      </c>
      <c r="D684" s="39" t="s">
        <v>9</v>
      </c>
      <c r="E684" s="39" t="s">
        <v>318</v>
      </c>
      <c r="F684" s="139">
        <v>12.99</v>
      </c>
      <c r="G684" s="40" t="s">
        <v>351</v>
      </c>
      <c r="H684" s="43" cm="1">
        <f t="array" ref="H684">SUMPRODUCT(Tracking[Amount],--(Tracking[Date]&lt;=Tracking[[#This Row],[Date]]),(Tracking[Type]&lt;&gt;"Income")*(-1)+(Tracking[Type]="Income"))</f>
        <v>-1701.3599999999974</v>
      </c>
      <c r="I684" s="51">
        <f>IF(AND(Tracking[[#This Row],[Type]]="Income",shift_late_income_status="Active",DAY(Tracking[[#This Row],[Date]])&gt;=shift_late_income_starting_day),DATE(YEAR(Tracking[[#This Row],[Date]]),MONTH(Tracking[[#This Row],[Date]])+1,1),Tracking[[#This Row],[Date]])</f>
        <v>46129</v>
      </c>
    </row>
    <row r="685" spans="3:9" x14ac:dyDescent="0.3">
      <c r="C685" s="41">
        <v>46132</v>
      </c>
      <c r="D685" s="39" t="s">
        <v>9</v>
      </c>
      <c r="E685" s="39" t="s">
        <v>10</v>
      </c>
      <c r="F685" s="139">
        <v>3.3</v>
      </c>
      <c r="G685" s="40" t="s">
        <v>352</v>
      </c>
      <c r="H685" s="43" cm="1">
        <f t="array" ref="H685">SUMPRODUCT(Tracking[Amount],--(Tracking[Date]&lt;=Tracking[[#This Row],[Date]]),(Tracking[Type]&lt;&gt;"Income")*(-1)+(Tracking[Type]="Income"))</f>
        <v>-2294.8099999999972</v>
      </c>
      <c r="I685" s="51">
        <f>IF(AND(Tracking[[#This Row],[Type]]="Income",shift_late_income_status="Active",DAY(Tracking[[#This Row],[Date]])&gt;=shift_late_income_starting_day),DATE(YEAR(Tracking[[#This Row],[Date]]),MONTH(Tracking[[#This Row],[Date]])+1,1),Tracking[[#This Row],[Date]])</f>
        <v>46132</v>
      </c>
    </row>
    <row r="686" spans="3:9" x14ac:dyDescent="0.3">
      <c r="C686" s="41">
        <v>46132</v>
      </c>
      <c r="D686" s="39" t="s">
        <v>9</v>
      </c>
      <c r="E686" s="39" t="s">
        <v>10</v>
      </c>
      <c r="F686" s="139">
        <v>6.71</v>
      </c>
      <c r="G686" s="40" t="s">
        <v>353</v>
      </c>
      <c r="H686" s="43" cm="1">
        <f t="array" ref="H686">SUMPRODUCT(Tracking[Amount],--(Tracking[Date]&lt;=Tracking[[#This Row],[Date]]),(Tracking[Type]&lt;&gt;"Income")*(-1)+(Tracking[Type]="Income"))</f>
        <v>-2294.8099999999972</v>
      </c>
      <c r="I686" s="51">
        <f>IF(AND(Tracking[[#This Row],[Type]]="Income",shift_late_income_status="Active",DAY(Tracking[[#This Row],[Date]])&gt;=shift_late_income_starting_day),DATE(YEAR(Tracking[[#This Row],[Date]]),MONTH(Tracking[[#This Row],[Date]])+1,1),Tracking[[#This Row],[Date]])</f>
        <v>46132</v>
      </c>
    </row>
    <row r="687" spans="3:9" x14ac:dyDescent="0.3">
      <c r="C687" s="41">
        <v>46132</v>
      </c>
      <c r="D687" s="39" t="s">
        <v>9</v>
      </c>
      <c r="E687" s="39" t="s">
        <v>10</v>
      </c>
      <c r="F687" s="139">
        <v>8.82</v>
      </c>
      <c r="G687" s="40" t="s">
        <v>310</v>
      </c>
      <c r="H687" s="43" cm="1">
        <f t="array" ref="H687">SUMPRODUCT(Tracking[Amount],--(Tracking[Date]&lt;=Tracking[[#This Row],[Date]]),(Tracking[Type]&lt;&gt;"Income")*(-1)+(Tracking[Type]="Income"))</f>
        <v>-2294.8099999999972</v>
      </c>
      <c r="I687" s="51">
        <f>IF(AND(Tracking[[#This Row],[Type]]="Income",shift_late_income_status="Active",DAY(Tracking[[#This Row],[Date]])&gt;=shift_late_income_starting_day),DATE(YEAR(Tracking[[#This Row],[Date]]),MONTH(Tracking[[#This Row],[Date]])+1,1),Tracking[[#This Row],[Date]])</f>
        <v>46132</v>
      </c>
    </row>
    <row r="688" spans="3:9" x14ac:dyDescent="0.3">
      <c r="C688" s="41">
        <v>46132</v>
      </c>
      <c r="D688" s="39" t="s">
        <v>9</v>
      </c>
      <c r="E688" s="39" t="s">
        <v>10</v>
      </c>
      <c r="F688" s="139">
        <v>10.6</v>
      </c>
      <c r="G688" s="40" t="s">
        <v>271</v>
      </c>
      <c r="H688" s="43" cm="1">
        <f t="array" ref="H688">SUMPRODUCT(Tracking[Amount],--(Tracking[Date]&lt;=Tracking[[#This Row],[Date]]),(Tracking[Type]&lt;&gt;"Income")*(-1)+(Tracking[Type]="Income"))</f>
        <v>-2294.8099999999972</v>
      </c>
      <c r="I688" s="51">
        <f>IF(AND(Tracking[[#This Row],[Type]]="Income",shift_late_income_status="Active",DAY(Tracking[[#This Row],[Date]])&gt;=shift_late_income_starting_day),DATE(YEAR(Tracking[[#This Row],[Date]]),MONTH(Tracking[[#This Row],[Date]])+1,1),Tracking[[#This Row],[Date]])</f>
        <v>46132</v>
      </c>
    </row>
    <row r="689" spans="3:9" x14ac:dyDescent="0.3">
      <c r="C689" s="41">
        <v>46132</v>
      </c>
      <c r="D689" s="39" t="s">
        <v>9</v>
      </c>
      <c r="E689" s="39" t="s">
        <v>318</v>
      </c>
      <c r="F689" s="139">
        <v>12.99</v>
      </c>
      <c r="G689" s="40" t="s">
        <v>354</v>
      </c>
      <c r="H689" s="43" cm="1">
        <f t="array" ref="H689">SUMPRODUCT(Tracking[Amount],--(Tracking[Date]&lt;=Tracking[[#This Row],[Date]]),(Tracking[Type]&lt;&gt;"Income")*(-1)+(Tracking[Type]="Income"))</f>
        <v>-2294.8099999999972</v>
      </c>
      <c r="I689" s="51">
        <f>IF(AND(Tracking[[#This Row],[Type]]="Income",shift_late_income_status="Active",DAY(Tracking[[#This Row],[Date]])&gt;=shift_late_income_starting_day),DATE(YEAR(Tracking[[#This Row],[Date]]),MONTH(Tracking[[#This Row],[Date]])+1,1),Tracking[[#This Row],[Date]])</f>
        <v>46132</v>
      </c>
    </row>
    <row r="690" spans="3:9" x14ac:dyDescent="0.3">
      <c r="C690" s="41">
        <v>46132</v>
      </c>
      <c r="D690" s="39" t="s">
        <v>9</v>
      </c>
      <c r="E690" s="39" t="s">
        <v>10</v>
      </c>
      <c r="F690" s="139">
        <v>13.18</v>
      </c>
      <c r="G690" s="40" t="s">
        <v>271</v>
      </c>
      <c r="H690" s="43" cm="1">
        <f t="array" ref="H690">SUMPRODUCT(Tracking[Amount],--(Tracking[Date]&lt;=Tracking[[#This Row],[Date]]),(Tracking[Type]&lt;&gt;"Income")*(-1)+(Tracking[Type]="Income"))</f>
        <v>-2294.8099999999972</v>
      </c>
      <c r="I690" s="51">
        <f>IF(AND(Tracking[[#This Row],[Type]]="Income",shift_late_income_status="Active",DAY(Tracking[[#This Row],[Date]])&gt;=shift_late_income_starting_day),DATE(YEAR(Tracking[[#This Row],[Date]]),MONTH(Tracking[[#This Row],[Date]])+1,1),Tracking[[#This Row],[Date]])</f>
        <v>46132</v>
      </c>
    </row>
    <row r="691" spans="3:9" x14ac:dyDescent="0.3">
      <c r="C691" s="41">
        <v>46132</v>
      </c>
      <c r="D691" s="39" t="s">
        <v>9</v>
      </c>
      <c r="E691" s="39" t="s">
        <v>10</v>
      </c>
      <c r="F691" s="139">
        <v>14.25</v>
      </c>
      <c r="G691" s="40" t="s">
        <v>260</v>
      </c>
      <c r="H691" s="43" cm="1">
        <f t="array" ref="H691">SUMPRODUCT(Tracking[Amount],--(Tracking[Date]&lt;=Tracking[[#This Row],[Date]]),(Tracking[Type]&lt;&gt;"Income")*(-1)+(Tracking[Type]="Income"))</f>
        <v>-2294.8099999999972</v>
      </c>
      <c r="I691" s="51">
        <f>IF(AND(Tracking[[#This Row],[Type]]="Income",shift_late_income_status="Active",DAY(Tracking[[#This Row],[Date]])&gt;=shift_late_income_starting_day),DATE(YEAR(Tracking[[#This Row],[Date]]),MONTH(Tracking[[#This Row],[Date]])+1,1),Tracking[[#This Row],[Date]])</f>
        <v>46132</v>
      </c>
    </row>
    <row r="692" spans="3:9" x14ac:dyDescent="0.3">
      <c r="C692" s="41">
        <v>46132</v>
      </c>
      <c r="D692" s="39" t="s">
        <v>9</v>
      </c>
      <c r="E692" s="39" t="s">
        <v>12</v>
      </c>
      <c r="F692" s="139">
        <v>15.3</v>
      </c>
      <c r="G692" s="40" t="s">
        <v>289</v>
      </c>
      <c r="H692" s="43" cm="1">
        <f t="array" ref="H692">SUMPRODUCT(Tracking[Amount],--(Tracking[Date]&lt;=Tracking[[#This Row],[Date]]),(Tracking[Type]&lt;&gt;"Income")*(-1)+(Tracking[Type]="Income"))</f>
        <v>-2294.8099999999972</v>
      </c>
      <c r="I692" s="51">
        <f>IF(AND(Tracking[[#This Row],[Type]]="Income",shift_late_income_status="Active",DAY(Tracking[[#This Row],[Date]])&gt;=shift_late_income_starting_day),DATE(YEAR(Tracking[[#This Row],[Date]]),MONTH(Tracking[[#This Row],[Date]])+1,1),Tracking[[#This Row],[Date]])</f>
        <v>46132</v>
      </c>
    </row>
    <row r="693" spans="3:9" x14ac:dyDescent="0.3">
      <c r="C693" s="41">
        <v>46132</v>
      </c>
      <c r="D693" s="39" t="s">
        <v>9</v>
      </c>
      <c r="E693" s="39" t="s">
        <v>10</v>
      </c>
      <c r="F693" s="139">
        <v>20.61</v>
      </c>
      <c r="G693" s="40" t="s">
        <v>249</v>
      </c>
      <c r="H693" s="43" cm="1">
        <f t="array" ref="H693">SUMPRODUCT(Tracking[Amount],--(Tracking[Date]&lt;=Tracking[[#This Row],[Date]]),(Tracking[Type]&lt;&gt;"Income")*(-1)+(Tracking[Type]="Income"))</f>
        <v>-2294.8099999999972</v>
      </c>
      <c r="I693" s="51">
        <f>IF(AND(Tracking[[#This Row],[Type]]="Income",shift_late_income_status="Active",DAY(Tracking[[#This Row],[Date]])&gt;=shift_late_income_starting_day),DATE(YEAR(Tracking[[#This Row],[Date]]),MONTH(Tracking[[#This Row],[Date]])+1,1),Tracking[[#This Row],[Date]])</f>
        <v>46132</v>
      </c>
    </row>
    <row r="694" spans="3:9" x14ac:dyDescent="0.3">
      <c r="C694" s="41">
        <v>46132</v>
      </c>
      <c r="D694" s="39" t="s">
        <v>9</v>
      </c>
      <c r="E694" s="39" t="s">
        <v>10</v>
      </c>
      <c r="F694" s="139">
        <v>25.98</v>
      </c>
      <c r="G694" s="40" t="s">
        <v>177</v>
      </c>
      <c r="H694" s="43" cm="1">
        <f t="array" ref="H694">SUMPRODUCT(Tracking[Amount],--(Tracking[Date]&lt;=Tracking[[#This Row],[Date]]),(Tracking[Type]&lt;&gt;"Income")*(-1)+(Tracking[Type]="Income"))</f>
        <v>-2294.8099999999972</v>
      </c>
      <c r="I694" s="51">
        <f>IF(AND(Tracking[[#This Row],[Type]]="Income",shift_late_income_status="Active",DAY(Tracking[[#This Row],[Date]])&gt;=shift_late_income_starting_day),DATE(YEAR(Tracking[[#This Row],[Date]]),MONTH(Tracking[[#This Row],[Date]])+1,1),Tracking[[#This Row],[Date]])</f>
        <v>46132</v>
      </c>
    </row>
    <row r="695" spans="3:9" x14ac:dyDescent="0.3">
      <c r="C695" s="41">
        <v>46132</v>
      </c>
      <c r="D695" s="39" t="s">
        <v>9</v>
      </c>
      <c r="E695" s="39" t="s">
        <v>10</v>
      </c>
      <c r="F695" s="139">
        <v>44.14</v>
      </c>
      <c r="G695" s="40" t="s">
        <v>250</v>
      </c>
      <c r="H695" s="43" cm="1">
        <f t="array" ref="H695">SUMPRODUCT(Tracking[Amount],--(Tracking[Date]&lt;=Tracking[[#This Row],[Date]]),(Tracking[Type]&lt;&gt;"Income")*(-1)+(Tracking[Type]="Income"))</f>
        <v>-2294.8099999999972</v>
      </c>
      <c r="I695" s="51">
        <f>IF(AND(Tracking[[#This Row],[Type]]="Income",shift_late_income_status="Active",DAY(Tracking[[#This Row],[Date]])&gt;=shift_late_income_starting_day),DATE(YEAR(Tracking[[#This Row],[Date]]),MONTH(Tracking[[#This Row],[Date]])+1,1),Tracking[[#This Row],[Date]])</f>
        <v>46132</v>
      </c>
    </row>
    <row r="696" spans="3:9" x14ac:dyDescent="0.3">
      <c r="C696" s="41">
        <v>46132</v>
      </c>
      <c r="D696" s="39" t="s">
        <v>9</v>
      </c>
      <c r="E696" s="39" t="s">
        <v>318</v>
      </c>
      <c r="F696" s="139">
        <v>54</v>
      </c>
      <c r="G696" s="40" t="s">
        <v>354</v>
      </c>
      <c r="H696" s="43" cm="1">
        <f t="array" ref="H696">SUMPRODUCT(Tracking[Amount],--(Tracking[Date]&lt;=Tracking[[#This Row],[Date]]),(Tracking[Type]&lt;&gt;"Income")*(-1)+(Tracking[Type]="Income"))</f>
        <v>-2294.8099999999972</v>
      </c>
      <c r="I696" s="51">
        <f>IF(AND(Tracking[[#This Row],[Type]]="Income",shift_late_income_status="Active",DAY(Tracking[[#This Row],[Date]])&gt;=shift_late_income_starting_day),DATE(YEAR(Tracking[[#This Row],[Date]]),MONTH(Tracking[[#This Row],[Date]])+1,1),Tracking[[#This Row],[Date]])</f>
        <v>46132</v>
      </c>
    </row>
    <row r="697" spans="3:9" x14ac:dyDescent="0.3">
      <c r="C697" s="41">
        <v>46132</v>
      </c>
      <c r="D697" s="39" t="s">
        <v>14</v>
      </c>
      <c r="E697" s="39" t="s">
        <v>110</v>
      </c>
      <c r="F697" s="139">
        <v>346.3</v>
      </c>
      <c r="G697" s="40"/>
      <c r="H697" s="43" cm="1">
        <f t="array" ref="H697">SUMPRODUCT(Tracking[Amount],--(Tracking[Date]&lt;=Tracking[[#This Row],[Date]]),(Tracking[Type]&lt;&gt;"Income")*(-1)+(Tracking[Type]="Income"))</f>
        <v>-2294.8099999999972</v>
      </c>
      <c r="I697" s="51">
        <f>IF(AND(Tracking[[#This Row],[Type]]="Income",shift_late_income_status="Active",DAY(Tracking[[#This Row],[Date]])&gt;=shift_late_income_starting_day),DATE(YEAR(Tracking[[#This Row],[Date]]),MONTH(Tracking[[#This Row],[Date]])+1,1),Tracking[[#This Row],[Date]])</f>
        <v>46132</v>
      </c>
    </row>
    <row r="698" spans="3:9" x14ac:dyDescent="0.3">
      <c r="C698" s="41">
        <v>46132</v>
      </c>
      <c r="D698" s="39" t="s">
        <v>9</v>
      </c>
      <c r="E698" s="39" t="s">
        <v>10</v>
      </c>
      <c r="F698" s="139">
        <v>17.27</v>
      </c>
      <c r="G698" s="40" t="s">
        <v>353</v>
      </c>
      <c r="H698" s="43" cm="1">
        <f t="array" ref="H698">SUMPRODUCT(Tracking[Amount],--(Tracking[Date]&lt;=Tracking[[#This Row],[Date]]),(Tracking[Type]&lt;&gt;"Income")*(-1)+(Tracking[Type]="Income"))</f>
        <v>-2294.8099999999972</v>
      </c>
      <c r="I698" s="51">
        <f>IF(AND(Tracking[[#This Row],[Type]]="Income",shift_late_income_status="Active",DAY(Tracking[[#This Row],[Date]])&gt;=shift_late_income_starting_day),DATE(YEAR(Tracking[[#This Row],[Date]]),MONTH(Tracking[[#This Row],[Date]])+1,1),Tracking[[#This Row],[Date]])</f>
        <v>46132</v>
      </c>
    </row>
    <row r="699" spans="3:9" x14ac:dyDescent="0.3">
      <c r="C699" s="41">
        <v>46133</v>
      </c>
      <c r="D699" s="39" t="s">
        <v>9</v>
      </c>
      <c r="E699" s="39" t="s">
        <v>111</v>
      </c>
      <c r="F699" s="139">
        <v>33.630000000000003</v>
      </c>
      <c r="G699" s="40" t="s">
        <v>258</v>
      </c>
      <c r="H699" s="43" cm="1">
        <f t="array" ref="H699">SUMPRODUCT(Tracking[Amount],--(Tracking[Date]&lt;=Tracking[[#This Row],[Date]]),(Tracking[Type]&lt;&gt;"Income")*(-1)+(Tracking[Type]="Income"))</f>
        <v>-2390.4099999999971</v>
      </c>
      <c r="I699" s="51">
        <f>IF(AND(Tracking[[#This Row],[Type]]="Income",shift_late_income_status="Active",DAY(Tracking[[#This Row],[Date]])&gt;=shift_late_income_starting_day),DATE(YEAR(Tracking[[#This Row],[Date]]),MONTH(Tracking[[#This Row],[Date]])+1,1),Tracking[[#This Row],[Date]])</f>
        <v>46133</v>
      </c>
    </row>
    <row r="700" spans="3:9" x14ac:dyDescent="0.3">
      <c r="C700" s="41">
        <v>46133</v>
      </c>
      <c r="D700" s="39" t="s">
        <v>9</v>
      </c>
      <c r="E700" s="39" t="s">
        <v>111</v>
      </c>
      <c r="F700" s="139">
        <v>61.97</v>
      </c>
      <c r="G700" s="40" t="s">
        <v>355</v>
      </c>
      <c r="H700" s="43" cm="1">
        <f t="array" ref="H700">SUMPRODUCT(Tracking[Amount],--(Tracking[Date]&lt;=Tracking[[#This Row],[Date]]),(Tracking[Type]&lt;&gt;"Income")*(-1)+(Tracking[Type]="Income"))</f>
        <v>-2390.4099999999971</v>
      </c>
      <c r="I700" s="51">
        <f>IF(AND(Tracking[[#This Row],[Type]]="Income",shift_late_income_status="Active",DAY(Tracking[[#This Row],[Date]])&gt;=shift_late_income_starting_day),DATE(YEAR(Tracking[[#This Row],[Date]]),MONTH(Tracking[[#This Row],[Date]])+1,1),Tracking[[#This Row],[Date]])</f>
        <v>46133</v>
      </c>
    </row>
    <row r="701" spans="3:9" x14ac:dyDescent="0.3">
      <c r="C701" s="41">
        <v>46134</v>
      </c>
      <c r="D701" s="39" t="s">
        <v>9</v>
      </c>
      <c r="E701" s="39" t="s">
        <v>10</v>
      </c>
      <c r="F701" s="139">
        <v>10.06</v>
      </c>
      <c r="G701" s="40" t="s">
        <v>271</v>
      </c>
      <c r="H701" s="43" cm="1">
        <f t="array" ref="H701">SUMPRODUCT(Tracking[Amount],--(Tracking[Date]&lt;=Tracking[[#This Row],[Date]]),(Tracking[Type]&lt;&gt;"Income")*(-1)+(Tracking[Type]="Income"))</f>
        <v>-2427.0599999999972</v>
      </c>
      <c r="I701" s="51">
        <f>IF(AND(Tracking[[#This Row],[Type]]="Income",shift_late_income_status="Active",DAY(Tracking[[#This Row],[Date]])&gt;=shift_late_income_starting_day),DATE(YEAR(Tracking[[#This Row],[Date]]),MONTH(Tracking[[#This Row],[Date]])+1,1),Tracking[[#This Row],[Date]])</f>
        <v>46134</v>
      </c>
    </row>
    <row r="702" spans="3:9" x14ac:dyDescent="0.3">
      <c r="C702" s="41">
        <v>46134</v>
      </c>
      <c r="D702" s="39" t="s">
        <v>9</v>
      </c>
      <c r="E702" s="39" t="s">
        <v>10</v>
      </c>
      <c r="F702" s="139">
        <v>26.59</v>
      </c>
      <c r="G702" s="40" t="s">
        <v>271</v>
      </c>
      <c r="H702" s="43" cm="1">
        <f t="array" ref="H702">SUMPRODUCT(Tracking[Amount],--(Tracking[Date]&lt;=Tracking[[#This Row],[Date]]),(Tracking[Type]&lt;&gt;"Income")*(-1)+(Tracking[Type]="Income"))</f>
        <v>-2427.0599999999972</v>
      </c>
      <c r="I702" s="51">
        <f>IF(AND(Tracking[[#This Row],[Type]]="Income",shift_late_income_status="Active",DAY(Tracking[[#This Row],[Date]])&gt;=shift_late_income_starting_day),DATE(YEAR(Tracking[[#This Row],[Date]]),MONTH(Tracking[[#This Row],[Date]])+1,1),Tracking[[#This Row],[Date]])</f>
        <v>46134</v>
      </c>
    </row>
    <row r="703" spans="3:9" x14ac:dyDescent="0.3">
      <c r="C703" s="41">
        <v>46135</v>
      </c>
      <c r="D703" s="39" t="s">
        <v>9</v>
      </c>
      <c r="E703" s="39" t="s">
        <v>111</v>
      </c>
      <c r="F703" s="139">
        <v>32</v>
      </c>
      <c r="G703" s="40" t="s">
        <v>113</v>
      </c>
      <c r="H703" s="43" cm="1">
        <f t="array" ref="H703">SUMPRODUCT(Tracking[Amount],--(Tracking[Date]&lt;=Tracking[[#This Row],[Date]]),(Tracking[Type]&lt;&gt;"Income")*(-1)+(Tracking[Type]="Income"))</f>
        <v>-2465.7699999999973</v>
      </c>
      <c r="I703" s="51">
        <f>IF(AND(Tracking[[#This Row],[Type]]="Income",shift_late_income_status="Active",DAY(Tracking[[#This Row],[Date]])&gt;=shift_late_income_starting_day),DATE(YEAR(Tracking[[#This Row],[Date]]),MONTH(Tracking[[#This Row],[Date]])+1,1),Tracking[[#This Row],[Date]])</f>
        <v>46135</v>
      </c>
    </row>
    <row r="704" spans="3:9" x14ac:dyDescent="0.3">
      <c r="C704" s="41">
        <v>46135</v>
      </c>
      <c r="D704" s="39" t="s">
        <v>9</v>
      </c>
      <c r="E704" s="39" t="s">
        <v>10</v>
      </c>
      <c r="F704" s="139">
        <v>6.71</v>
      </c>
      <c r="G704" s="40" t="s">
        <v>356</v>
      </c>
      <c r="H704" s="43" cm="1">
        <f t="array" ref="H704">SUMPRODUCT(Tracking[Amount],--(Tracking[Date]&lt;=Tracking[[#This Row],[Date]]),(Tracking[Type]&lt;&gt;"Income")*(-1)+(Tracking[Type]="Income"))</f>
        <v>-2465.7699999999973</v>
      </c>
      <c r="I704" s="51">
        <f>IF(AND(Tracking[[#This Row],[Type]]="Income",shift_late_income_status="Active",DAY(Tracking[[#This Row],[Date]])&gt;=shift_late_income_starting_day),DATE(YEAR(Tracking[[#This Row],[Date]]),MONTH(Tracking[[#This Row],[Date]])+1,1),Tracking[[#This Row],[Date]])</f>
        <v>46135</v>
      </c>
    </row>
    <row r="705" spans="3:9" x14ac:dyDescent="0.3">
      <c r="C705" s="41">
        <v>46114</v>
      </c>
      <c r="D705" s="39" t="s">
        <v>9</v>
      </c>
      <c r="E705" s="39" t="s">
        <v>10</v>
      </c>
      <c r="F705" s="139">
        <v>10.06</v>
      </c>
      <c r="G705" s="40" t="s">
        <v>271</v>
      </c>
      <c r="H705" s="43" cm="1">
        <f t="array" ref="H705">SUMPRODUCT(Tracking[Amount],--(Tracking[Date]&lt;=Tracking[[#This Row],[Date]]),(Tracking[Type]&lt;&gt;"Income")*(-1)+(Tracking[Type]="Income"))</f>
        <v>-2159.9999999999977</v>
      </c>
      <c r="I705" s="51">
        <f>IF(AND(Tracking[[#This Row],[Type]]="Income",shift_late_income_status="Active",DAY(Tracking[[#This Row],[Date]])&gt;=shift_late_income_starting_day),DATE(YEAR(Tracking[[#This Row],[Date]]),MONTH(Tracking[[#This Row],[Date]])+1,1),Tracking[[#This Row],[Date]])</f>
        <v>46114</v>
      </c>
    </row>
    <row r="706" spans="3:9" x14ac:dyDescent="0.3">
      <c r="C706" s="41">
        <v>46136</v>
      </c>
      <c r="D706" s="39" t="s">
        <v>9</v>
      </c>
      <c r="E706" s="39" t="s">
        <v>10</v>
      </c>
      <c r="F706" s="139">
        <v>13.75</v>
      </c>
      <c r="G706" s="40" t="s">
        <v>277</v>
      </c>
      <c r="H706" s="43" cm="1">
        <f t="array" ref="H706">SUMPRODUCT(Tracking[Amount],--(Tracking[Date]&lt;=Tracking[[#This Row],[Date]]),(Tracking[Type]&lt;&gt;"Income")*(-1)+(Tracking[Type]="Income"))</f>
        <v>-2525.5799999999972</v>
      </c>
      <c r="I706" s="51">
        <f>IF(AND(Tracking[[#This Row],[Type]]="Income",shift_late_income_status="Active",DAY(Tracking[[#This Row],[Date]])&gt;=shift_late_income_starting_day),DATE(YEAR(Tracking[[#This Row],[Date]]),MONTH(Tracking[[#This Row],[Date]])+1,1),Tracking[[#This Row],[Date]])</f>
        <v>46136</v>
      </c>
    </row>
    <row r="707" spans="3:9" x14ac:dyDescent="0.3">
      <c r="C707" s="41">
        <v>46136</v>
      </c>
      <c r="D707" s="39" t="s">
        <v>9</v>
      </c>
      <c r="E707" s="39" t="s">
        <v>111</v>
      </c>
      <c r="F707" s="139">
        <v>19.47</v>
      </c>
      <c r="G707" s="40" t="s">
        <v>357</v>
      </c>
      <c r="H707" s="43" cm="1">
        <f t="array" ref="H707">SUMPRODUCT(Tracking[Amount],--(Tracking[Date]&lt;=Tracking[[#This Row],[Date]]),(Tracking[Type]&lt;&gt;"Income")*(-1)+(Tracking[Type]="Income"))</f>
        <v>-2525.5799999999972</v>
      </c>
      <c r="I707" s="51">
        <f>IF(AND(Tracking[[#This Row],[Type]]="Income",shift_late_income_status="Active",DAY(Tracking[[#This Row],[Date]])&gt;=shift_late_income_starting_day),DATE(YEAR(Tracking[[#This Row],[Date]]),MONTH(Tracking[[#This Row],[Date]])+1,1),Tracking[[#This Row],[Date]])</f>
        <v>46136</v>
      </c>
    </row>
    <row r="708" spans="3:9" x14ac:dyDescent="0.3">
      <c r="C708" s="41">
        <v>46136</v>
      </c>
      <c r="D708" s="39" t="s">
        <v>9</v>
      </c>
      <c r="E708" s="39" t="s">
        <v>10</v>
      </c>
      <c r="F708" s="139">
        <v>26.59</v>
      </c>
      <c r="G708" s="40" t="s">
        <v>271</v>
      </c>
      <c r="H708" s="43" cm="1">
        <f t="array" ref="H708">SUMPRODUCT(Tracking[Amount],--(Tracking[Date]&lt;=Tracking[[#This Row],[Date]]),(Tracking[Type]&lt;&gt;"Income")*(-1)+(Tracking[Type]="Income"))</f>
        <v>-2525.5799999999972</v>
      </c>
      <c r="I708" s="51">
        <f>IF(AND(Tracking[[#This Row],[Type]]="Income",shift_late_income_status="Active",DAY(Tracking[[#This Row],[Date]])&gt;=shift_late_income_starting_day),DATE(YEAR(Tracking[[#This Row],[Date]]),MONTH(Tracking[[#This Row],[Date]])+1,1),Tracking[[#This Row],[Date]])</f>
        <v>46136</v>
      </c>
    </row>
    <row r="709" spans="3:9" x14ac:dyDescent="0.3">
      <c r="C709" s="41">
        <v>46139</v>
      </c>
      <c r="D709" s="39" t="s">
        <v>9</v>
      </c>
      <c r="E709" s="39" t="s">
        <v>12</v>
      </c>
      <c r="F709" s="139">
        <v>2.15</v>
      </c>
      <c r="G709" s="40" t="s">
        <v>238</v>
      </c>
      <c r="H709" s="43" cm="1">
        <f t="array" ref="H709">SUMPRODUCT(Tracking[Amount],--(Tracking[Date]&lt;=Tracking[[#This Row],[Date]]),(Tracking[Type]&lt;&gt;"Income")*(-1)+(Tracking[Type]="Income"))</f>
        <v>-2627.549999999997</v>
      </c>
      <c r="I709" s="51">
        <f>IF(AND(Tracking[[#This Row],[Type]]="Income",shift_late_income_status="Active",DAY(Tracking[[#This Row],[Date]])&gt;=shift_late_income_starting_day),DATE(YEAR(Tracking[[#This Row],[Date]]),MONTH(Tracking[[#This Row],[Date]])+1,1),Tracking[[#This Row],[Date]])</f>
        <v>46139</v>
      </c>
    </row>
    <row r="710" spans="3:9" x14ac:dyDescent="0.3">
      <c r="C710" s="41">
        <v>46139</v>
      </c>
      <c r="D710" s="39" t="s">
        <v>9</v>
      </c>
      <c r="E710" s="39" t="s">
        <v>10</v>
      </c>
      <c r="F710" s="139">
        <v>13.53</v>
      </c>
      <c r="G710" s="40" t="s">
        <v>353</v>
      </c>
      <c r="H710" s="43" cm="1">
        <f t="array" ref="H710">SUMPRODUCT(Tracking[Amount],--(Tracking[Date]&lt;=Tracking[[#This Row],[Date]]),(Tracking[Type]&lt;&gt;"Income")*(-1)+(Tracking[Type]="Income"))</f>
        <v>-2627.549999999997</v>
      </c>
      <c r="I710" s="51">
        <f>IF(AND(Tracking[[#This Row],[Type]]="Income",shift_late_income_status="Active",DAY(Tracking[[#This Row],[Date]])&gt;=shift_late_income_starting_day),DATE(YEAR(Tracking[[#This Row],[Date]]),MONTH(Tracking[[#This Row],[Date]])+1,1),Tracking[[#This Row],[Date]])</f>
        <v>46139</v>
      </c>
    </row>
    <row r="711" spans="3:9" x14ac:dyDescent="0.3">
      <c r="C711" s="41">
        <v>46139</v>
      </c>
      <c r="D711" s="39" t="s">
        <v>9</v>
      </c>
      <c r="E711" s="39" t="s">
        <v>111</v>
      </c>
      <c r="F711" s="139">
        <v>16.739999999999998</v>
      </c>
      <c r="G711" s="40" t="s">
        <v>358</v>
      </c>
      <c r="H711" s="43" cm="1">
        <f t="array" ref="H711">SUMPRODUCT(Tracking[Amount],--(Tracking[Date]&lt;=Tracking[[#This Row],[Date]]),(Tracking[Type]&lt;&gt;"Income")*(-1)+(Tracking[Type]="Income"))</f>
        <v>-2627.549999999997</v>
      </c>
      <c r="I711" s="51">
        <f>IF(AND(Tracking[[#This Row],[Type]]="Income",shift_late_income_status="Active",DAY(Tracking[[#This Row],[Date]])&gt;=shift_late_income_starting_day),DATE(YEAR(Tracking[[#This Row],[Date]]),MONTH(Tracking[[#This Row],[Date]])+1,1),Tracking[[#This Row],[Date]])</f>
        <v>46139</v>
      </c>
    </row>
    <row r="712" spans="3:9" x14ac:dyDescent="0.3">
      <c r="C712" s="41">
        <v>46139</v>
      </c>
      <c r="D712" s="39" t="s">
        <v>9</v>
      </c>
      <c r="E712" s="39" t="s">
        <v>10</v>
      </c>
      <c r="F712" s="139">
        <v>17.21</v>
      </c>
      <c r="G712" s="40" t="s">
        <v>304</v>
      </c>
      <c r="H712" s="43" cm="1">
        <f t="array" ref="H712">SUMPRODUCT(Tracking[Amount],--(Tracking[Date]&lt;=Tracking[[#This Row],[Date]]),(Tracking[Type]&lt;&gt;"Income")*(-1)+(Tracking[Type]="Income"))</f>
        <v>-2627.549999999997</v>
      </c>
      <c r="I712" s="51">
        <f>IF(AND(Tracking[[#This Row],[Type]]="Income",shift_late_income_status="Active",DAY(Tracking[[#This Row],[Date]])&gt;=shift_late_income_starting_day),DATE(YEAR(Tracking[[#This Row],[Date]]),MONTH(Tracking[[#This Row],[Date]])+1,1),Tracking[[#This Row],[Date]])</f>
        <v>46139</v>
      </c>
    </row>
    <row r="713" spans="3:9" x14ac:dyDescent="0.3">
      <c r="C713" s="41">
        <v>46139</v>
      </c>
      <c r="D713" s="39" t="s">
        <v>9</v>
      </c>
      <c r="E713" s="39" t="s">
        <v>111</v>
      </c>
      <c r="F713" s="139">
        <v>24.89</v>
      </c>
      <c r="G713" s="40" t="s">
        <v>258</v>
      </c>
      <c r="H713" s="43" cm="1">
        <f t="array" ref="H713">SUMPRODUCT(Tracking[Amount],--(Tracking[Date]&lt;=Tracking[[#This Row],[Date]]),(Tracking[Type]&lt;&gt;"Income")*(-1)+(Tracking[Type]="Income"))</f>
        <v>-2627.549999999997</v>
      </c>
      <c r="I713" s="51">
        <f>IF(AND(Tracking[[#This Row],[Type]]="Income",shift_late_income_status="Active",DAY(Tracking[[#This Row],[Date]])&gt;=shift_late_income_starting_day),DATE(YEAR(Tracking[[#This Row],[Date]]),MONTH(Tracking[[#This Row],[Date]])+1,1),Tracking[[#This Row],[Date]])</f>
        <v>46139</v>
      </c>
    </row>
    <row r="714" spans="3:9" x14ac:dyDescent="0.3">
      <c r="C714" s="41">
        <v>46139</v>
      </c>
      <c r="D714" s="39" t="s">
        <v>9</v>
      </c>
      <c r="E714" s="39" t="s">
        <v>10</v>
      </c>
      <c r="F714" s="139">
        <v>27.45</v>
      </c>
      <c r="G714" s="40" t="s">
        <v>248</v>
      </c>
      <c r="H714" s="43" cm="1">
        <f t="array" ref="H714">SUMPRODUCT(Tracking[Amount],--(Tracking[Date]&lt;=Tracking[[#This Row],[Date]]),(Tracking[Type]&lt;&gt;"Income")*(-1)+(Tracking[Type]="Income"))</f>
        <v>-2627.549999999997</v>
      </c>
      <c r="I714" s="51">
        <f>IF(AND(Tracking[[#This Row],[Type]]="Income",shift_late_income_status="Active",DAY(Tracking[[#This Row],[Date]])&gt;=shift_late_income_starting_day),DATE(YEAR(Tracking[[#This Row],[Date]]),MONTH(Tracking[[#This Row],[Date]])+1,1),Tracking[[#This Row],[Date]])</f>
        <v>46139</v>
      </c>
    </row>
    <row r="715" spans="3:9" x14ac:dyDescent="0.3">
      <c r="C715" s="41">
        <v>46140</v>
      </c>
      <c r="D715" s="39" t="s">
        <v>9</v>
      </c>
      <c r="E715" s="39" t="s">
        <v>10</v>
      </c>
      <c r="F715" s="139">
        <v>6.71</v>
      </c>
      <c r="G715" s="40" t="s">
        <v>353</v>
      </c>
      <c r="H715" s="43" cm="1">
        <f t="array" ref="H715">SUMPRODUCT(Tracking[Amount],--(Tracking[Date]&lt;=Tracking[[#This Row],[Date]]),(Tracking[Type]&lt;&gt;"Income")*(-1)+(Tracking[Type]="Income"))</f>
        <v>-2648.8599999999969</v>
      </c>
      <c r="I715" s="51">
        <f>IF(AND(Tracking[[#This Row],[Type]]="Income",shift_late_income_status="Active",DAY(Tracking[[#This Row],[Date]])&gt;=shift_late_income_starting_day),DATE(YEAR(Tracking[[#This Row],[Date]]),MONTH(Tracking[[#This Row],[Date]])+1,1),Tracking[[#This Row],[Date]])</f>
        <v>46140</v>
      </c>
    </row>
    <row r="716" spans="3:9" x14ac:dyDescent="0.3">
      <c r="C716" s="41">
        <v>46140</v>
      </c>
      <c r="D716" s="39" t="s">
        <v>9</v>
      </c>
      <c r="E716" s="39" t="s">
        <v>10</v>
      </c>
      <c r="F716" s="139">
        <v>14.6</v>
      </c>
      <c r="G716" s="40" t="s">
        <v>359</v>
      </c>
      <c r="H716" s="43" cm="1">
        <f t="array" ref="H716">SUMPRODUCT(Tracking[Amount],--(Tracking[Date]&lt;=Tracking[[#This Row],[Date]]),(Tracking[Type]&lt;&gt;"Income")*(-1)+(Tracking[Type]="Income"))</f>
        <v>-2648.8599999999969</v>
      </c>
      <c r="I716" s="51">
        <f>IF(AND(Tracking[[#This Row],[Type]]="Income",shift_late_income_status="Active",DAY(Tracking[[#This Row],[Date]])&gt;=shift_late_income_starting_day),DATE(YEAR(Tracking[[#This Row],[Date]]),MONTH(Tracking[[#This Row],[Date]])+1,1),Tracking[[#This Row],[Date]])</f>
        <v>46140</v>
      </c>
    </row>
    <row r="717" spans="3:9" x14ac:dyDescent="0.3">
      <c r="C717" s="41">
        <v>46141</v>
      </c>
      <c r="D717" s="39" t="s">
        <v>9</v>
      </c>
      <c r="E717" s="39" t="s">
        <v>12</v>
      </c>
      <c r="F717" s="139">
        <v>2.13</v>
      </c>
      <c r="G717" s="40" t="s">
        <v>333</v>
      </c>
      <c r="H717" s="43" cm="1">
        <f t="array" ref="H717">SUMPRODUCT(Tracking[Amount],--(Tracking[Date]&lt;=Tracking[[#This Row],[Date]]),(Tracking[Type]&lt;&gt;"Income")*(-1)+(Tracking[Type]="Income"))</f>
        <v>-2657.6999999999971</v>
      </c>
      <c r="I717" s="51">
        <f>IF(AND(Tracking[[#This Row],[Type]]="Income",shift_late_income_status="Active",DAY(Tracking[[#This Row],[Date]])&gt;=shift_late_income_starting_day),DATE(YEAR(Tracking[[#This Row],[Date]]),MONTH(Tracking[[#This Row],[Date]])+1,1),Tracking[[#This Row],[Date]])</f>
        <v>46141</v>
      </c>
    </row>
    <row r="718" spans="3:9" x14ac:dyDescent="0.3">
      <c r="C718" s="41">
        <v>46141</v>
      </c>
      <c r="D718" s="39" t="s">
        <v>9</v>
      </c>
      <c r="E718" s="39" t="s">
        <v>10</v>
      </c>
      <c r="F718" s="139">
        <v>6.71</v>
      </c>
      <c r="G718" s="40" t="s">
        <v>353</v>
      </c>
      <c r="H718" s="43" cm="1">
        <f t="array" ref="H718">SUMPRODUCT(Tracking[Amount],--(Tracking[Date]&lt;=Tracking[[#This Row],[Date]]),(Tracking[Type]&lt;&gt;"Income")*(-1)+(Tracking[Type]="Income"))</f>
        <v>-2657.6999999999971</v>
      </c>
      <c r="I718" s="51">
        <f>IF(AND(Tracking[[#This Row],[Type]]="Income",shift_late_income_status="Active",DAY(Tracking[[#This Row],[Date]])&gt;=shift_late_income_starting_day),DATE(YEAR(Tracking[[#This Row],[Date]]),MONTH(Tracking[[#This Row],[Date]])+1,1),Tracking[[#This Row],[Date]])</f>
        <v>46141</v>
      </c>
    </row>
    <row r="719" spans="3:9" x14ac:dyDescent="0.3">
      <c r="C719" s="41">
        <v>46142</v>
      </c>
      <c r="D719" s="39" t="s">
        <v>9</v>
      </c>
      <c r="E719" s="39" t="s">
        <v>10</v>
      </c>
      <c r="F719" s="139">
        <v>41.44</v>
      </c>
      <c r="G719" s="40" t="s">
        <v>325</v>
      </c>
      <c r="H719" s="43" cm="1">
        <f t="array" ref="H719">SUMPRODUCT(Tracking[Amount],--(Tracking[Date]&lt;=Tracking[[#This Row],[Date]]),(Tracking[Type]&lt;&gt;"Income")*(-1)+(Tracking[Type]="Income"))</f>
        <v>-2699.1399999999971</v>
      </c>
      <c r="I719" s="51">
        <f>IF(AND(Tracking[[#This Row],[Type]]="Income",shift_late_income_status="Active",DAY(Tracking[[#This Row],[Date]])&gt;=shift_late_income_starting_day),DATE(YEAR(Tracking[[#This Row],[Date]]),MONTH(Tracking[[#This Row],[Date]])+1,1),Tracking[[#This Row],[Date]])</f>
        <v>46142</v>
      </c>
    </row>
    <row r="720" spans="3:9" x14ac:dyDescent="0.3">
      <c r="C720" s="41">
        <v>46143</v>
      </c>
      <c r="D720" s="39" t="s">
        <v>9</v>
      </c>
      <c r="E720" s="39" t="s">
        <v>12</v>
      </c>
      <c r="F720" s="139">
        <v>9.07</v>
      </c>
      <c r="G720" s="40" t="s">
        <v>182</v>
      </c>
      <c r="H720" s="43" cm="1">
        <f t="array" ref="H720">SUMPRODUCT(Tracking[Amount],--(Tracking[Date]&lt;=Tracking[[#This Row],[Date]]),(Tracking[Type]&lt;&gt;"Income")*(-1)+(Tracking[Type]="Income"))</f>
        <v>-1804.4599999999973</v>
      </c>
      <c r="I720" s="51">
        <f>IF(AND(Tracking[[#This Row],[Type]]="Income",shift_late_income_status="Active",DAY(Tracking[[#This Row],[Date]])&gt;=shift_late_income_starting_day),DATE(YEAR(Tracking[[#This Row],[Date]]),MONTH(Tracking[[#This Row],[Date]])+1,1),Tracking[[#This Row],[Date]])</f>
        <v>46143</v>
      </c>
    </row>
    <row r="721" spans="3:9" x14ac:dyDescent="0.3">
      <c r="C721" s="41">
        <v>46143</v>
      </c>
      <c r="D721" s="39" t="s">
        <v>5</v>
      </c>
      <c r="E721" s="39" t="s">
        <v>103</v>
      </c>
      <c r="F721" s="139">
        <v>903.75</v>
      </c>
      <c r="G721" s="40"/>
      <c r="H721" s="43" cm="1">
        <f t="array" ref="H721">SUMPRODUCT(Tracking[Amount],--(Tracking[Date]&lt;=Tracking[[#This Row],[Date]]),(Tracking[Type]&lt;&gt;"Income")*(-1)+(Tracking[Type]="Income"))</f>
        <v>-1804.4599999999973</v>
      </c>
      <c r="I721" s="51">
        <f>IF(AND(Tracking[[#This Row],[Type]]="Income",shift_late_income_status="Active",DAY(Tracking[[#This Row],[Date]])&gt;=shift_late_income_starting_day),DATE(YEAR(Tracking[[#This Row],[Date]]),MONTH(Tracking[[#This Row],[Date]])+1,1),Tracking[[#This Row],[Date]])</f>
        <v>46143</v>
      </c>
    </row>
    <row r="722" spans="3:9" x14ac:dyDescent="0.3">
      <c r="C722" s="41">
        <v>46146</v>
      </c>
      <c r="D722" s="39" t="s">
        <v>9</v>
      </c>
      <c r="E722" s="39" t="s">
        <v>10</v>
      </c>
      <c r="F722" s="139">
        <v>3.25</v>
      </c>
      <c r="G722" s="40" t="s">
        <v>360</v>
      </c>
      <c r="H722" s="43" cm="1">
        <f t="array" ref="H722">SUMPRODUCT(Tracking[Amount],--(Tracking[Date]&lt;=Tracking[[#This Row],[Date]]),(Tracking[Type]&lt;&gt;"Income")*(-1)+(Tracking[Type]="Income"))</f>
        <v>-2060.7699999999973</v>
      </c>
      <c r="I722" s="51">
        <f>IF(AND(Tracking[[#This Row],[Type]]="Income",shift_late_income_status="Active",DAY(Tracking[[#This Row],[Date]])&gt;=shift_late_income_starting_day),DATE(YEAR(Tracking[[#This Row],[Date]]),MONTH(Tracking[[#This Row],[Date]])+1,1),Tracking[[#This Row],[Date]])</f>
        <v>46146</v>
      </c>
    </row>
    <row r="723" spans="3:9" x14ac:dyDescent="0.3">
      <c r="C723" s="41">
        <v>46146</v>
      </c>
      <c r="D723" s="39" t="s">
        <v>9</v>
      </c>
      <c r="E723" s="39" t="s">
        <v>12</v>
      </c>
      <c r="F723" s="139">
        <v>9.07</v>
      </c>
      <c r="G723" s="40" t="s">
        <v>182</v>
      </c>
      <c r="H723" s="43" cm="1">
        <f t="array" ref="H723">SUMPRODUCT(Tracking[Amount],--(Tracking[Date]&lt;=Tracking[[#This Row],[Date]]),(Tracking[Type]&lt;&gt;"Income")*(-1)+(Tracking[Type]="Income"))</f>
        <v>-2060.7699999999973</v>
      </c>
      <c r="I723" s="51">
        <f>IF(AND(Tracking[[#This Row],[Type]]="Income",shift_late_income_status="Active",DAY(Tracking[[#This Row],[Date]])&gt;=shift_late_income_starting_day),DATE(YEAR(Tracking[[#This Row],[Date]]),MONTH(Tracking[[#This Row],[Date]])+1,1),Tracking[[#This Row],[Date]])</f>
        <v>46146</v>
      </c>
    </row>
    <row r="724" spans="3:9" x14ac:dyDescent="0.3">
      <c r="C724" s="41">
        <v>46146</v>
      </c>
      <c r="D724" s="39" t="s">
        <v>9</v>
      </c>
      <c r="E724" s="39" t="s">
        <v>10</v>
      </c>
      <c r="F724" s="139">
        <v>12.34</v>
      </c>
      <c r="G724" s="40" t="s">
        <v>331</v>
      </c>
      <c r="H724" s="43" cm="1">
        <f t="array" ref="H724">SUMPRODUCT(Tracking[Amount],--(Tracking[Date]&lt;=Tracking[[#This Row],[Date]]),(Tracking[Type]&lt;&gt;"Income")*(-1)+(Tracking[Type]="Income"))</f>
        <v>-2060.7699999999973</v>
      </c>
      <c r="I724" s="51">
        <f>IF(AND(Tracking[[#This Row],[Type]]="Income",shift_late_income_status="Active",DAY(Tracking[[#This Row],[Date]])&gt;=shift_late_income_starting_day),DATE(YEAR(Tracking[[#This Row],[Date]]),MONTH(Tracking[[#This Row],[Date]])+1,1),Tracking[[#This Row],[Date]])</f>
        <v>46146</v>
      </c>
    </row>
    <row r="725" spans="3:9" x14ac:dyDescent="0.3">
      <c r="C725" s="41">
        <v>46146</v>
      </c>
      <c r="D725" s="39" t="s">
        <v>9</v>
      </c>
      <c r="E725" s="39" t="s">
        <v>10</v>
      </c>
      <c r="F725" s="139">
        <v>13.21</v>
      </c>
      <c r="G725" s="40" t="s">
        <v>177</v>
      </c>
      <c r="H725" s="43" cm="1">
        <f t="array" ref="H725">SUMPRODUCT(Tracking[Amount],--(Tracking[Date]&lt;=Tracking[[#This Row],[Date]]),(Tracking[Type]&lt;&gt;"Income")*(-1)+(Tracking[Type]="Income"))</f>
        <v>-2060.7699999999973</v>
      </c>
      <c r="I725" s="51">
        <f>IF(AND(Tracking[[#This Row],[Type]]="Income",shift_late_income_status="Active",DAY(Tracking[[#This Row],[Date]])&gt;=shift_late_income_starting_day),DATE(YEAR(Tracking[[#This Row],[Date]]),MONTH(Tracking[[#This Row],[Date]])+1,1),Tracking[[#This Row],[Date]])</f>
        <v>46146</v>
      </c>
    </row>
    <row r="726" spans="3:9" x14ac:dyDescent="0.3">
      <c r="C726" s="41">
        <v>46146</v>
      </c>
      <c r="D726" s="39" t="s">
        <v>9</v>
      </c>
      <c r="E726" s="39" t="s">
        <v>12</v>
      </c>
      <c r="F726" s="139">
        <v>16.18</v>
      </c>
      <c r="G726" s="40" t="s">
        <v>289</v>
      </c>
      <c r="H726" s="43" cm="1">
        <f t="array" ref="H726">SUMPRODUCT(Tracking[Amount],--(Tracking[Date]&lt;=Tracking[[#This Row],[Date]]),(Tracking[Type]&lt;&gt;"Income")*(-1)+(Tracking[Type]="Income"))</f>
        <v>-2060.7699999999973</v>
      </c>
      <c r="I726" s="51">
        <f>IF(AND(Tracking[[#This Row],[Type]]="Income",shift_late_income_status="Active",DAY(Tracking[[#This Row],[Date]])&gt;=shift_late_income_starting_day),DATE(YEAR(Tracking[[#This Row],[Date]]),MONTH(Tracking[[#This Row],[Date]])+1,1),Tracking[[#This Row],[Date]])</f>
        <v>46146</v>
      </c>
    </row>
    <row r="727" spans="3:9" x14ac:dyDescent="0.3">
      <c r="C727" s="41">
        <v>46146</v>
      </c>
      <c r="D727" s="39" t="s">
        <v>9</v>
      </c>
      <c r="E727" s="39" t="s">
        <v>111</v>
      </c>
      <c r="F727" s="139">
        <v>16.239999999999998</v>
      </c>
      <c r="G727" s="40"/>
      <c r="H727" s="43" cm="1">
        <f t="array" ref="H727">SUMPRODUCT(Tracking[Amount],--(Tracking[Date]&lt;=Tracking[[#This Row],[Date]]),(Tracking[Type]&lt;&gt;"Income")*(-1)+(Tracking[Type]="Income"))</f>
        <v>-2060.7699999999973</v>
      </c>
      <c r="I727" s="51">
        <f>IF(AND(Tracking[[#This Row],[Type]]="Income",shift_late_income_status="Active",DAY(Tracking[[#This Row],[Date]])&gt;=shift_late_income_starting_day),DATE(YEAR(Tracking[[#This Row],[Date]]),MONTH(Tracking[[#This Row],[Date]])+1,1),Tracking[[#This Row],[Date]])</f>
        <v>46146</v>
      </c>
    </row>
    <row r="728" spans="3:9" x14ac:dyDescent="0.3">
      <c r="C728" s="41">
        <v>46146</v>
      </c>
      <c r="D728" s="39" t="s">
        <v>9</v>
      </c>
      <c r="E728" s="39" t="s">
        <v>10</v>
      </c>
      <c r="F728" s="139">
        <v>27.06</v>
      </c>
      <c r="G728" s="40" t="s">
        <v>177</v>
      </c>
      <c r="H728" s="43" cm="1">
        <f t="array" ref="H728">SUMPRODUCT(Tracking[Amount],--(Tracking[Date]&lt;=Tracking[[#This Row],[Date]]),(Tracking[Type]&lt;&gt;"Income")*(-1)+(Tracking[Type]="Income"))</f>
        <v>-2060.7699999999973</v>
      </c>
      <c r="I728" s="51">
        <f>IF(AND(Tracking[[#This Row],[Type]]="Income",shift_late_income_status="Active",DAY(Tracking[[#This Row],[Date]])&gt;=shift_late_income_starting_day),DATE(YEAR(Tracking[[#This Row],[Date]]),MONTH(Tracking[[#This Row],[Date]])+1,1),Tracking[[#This Row],[Date]])</f>
        <v>46146</v>
      </c>
    </row>
    <row r="729" spans="3:9" x14ac:dyDescent="0.3">
      <c r="C729" s="41">
        <v>46146</v>
      </c>
      <c r="D729" s="39" t="s">
        <v>9</v>
      </c>
      <c r="E729" s="39" t="s">
        <v>111</v>
      </c>
      <c r="F729" s="139">
        <v>32.42</v>
      </c>
      <c r="G729" s="40"/>
      <c r="H729" s="43" cm="1">
        <f t="array" ref="H729">SUMPRODUCT(Tracking[Amount],--(Tracking[Date]&lt;=Tracking[[#This Row],[Date]]),(Tracking[Type]&lt;&gt;"Income")*(-1)+(Tracking[Type]="Income"))</f>
        <v>-2060.7699999999973</v>
      </c>
      <c r="I729" s="51">
        <f>IF(AND(Tracking[[#This Row],[Type]]="Income",shift_late_income_status="Active",DAY(Tracking[[#This Row],[Date]])&gt;=shift_late_income_starting_day),DATE(YEAR(Tracking[[#This Row],[Date]]),MONTH(Tracking[[#This Row],[Date]])+1,1),Tracking[[#This Row],[Date]])</f>
        <v>46146</v>
      </c>
    </row>
    <row r="730" spans="3:9" x14ac:dyDescent="0.3">
      <c r="C730" s="65">
        <v>46146</v>
      </c>
      <c r="D730" s="66" t="s">
        <v>9</v>
      </c>
      <c r="E730" s="66" t="s">
        <v>111</v>
      </c>
      <c r="F730" s="140">
        <v>41.08</v>
      </c>
      <c r="G730" s="40" t="s">
        <v>361</v>
      </c>
      <c r="H730" s="43" cm="1">
        <f t="array" ref="H730">SUMPRODUCT(Tracking[Amount],--(Tracking[Date]&lt;=Tracking[[#This Row],[Date]]),(Tracking[Type]&lt;&gt;"Income")*(-1)+(Tracking[Type]="Income"))</f>
        <v>-2060.7699999999973</v>
      </c>
      <c r="I730" s="51">
        <f>IF(AND(Tracking[[#This Row],[Type]]="Income",shift_late_income_status="Active",DAY(Tracking[[#This Row],[Date]])&gt;=shift_late_income_starting_day),DATE(YEAR(Tracking[[#This Row],[Date]]),MONTH(Tracking[[#This Row],[Date]])+1,1),Tracking[[#This Row],[Date]])</f>
        <v>46146</v>
      </c>
    </row>
    <row r="731" spans="3:9" x14ac:dyDescent="0.3">
      <c r="C731" s="41">
        <v>46146</v>
      </c>
      <c r="D731" s="39" t="s">
        <v>9</v>
      </c>
      <c r="E731" s="39" t="s">
        <v>111</v>
      </c>
      <c r="F731" s="139">
        <v>33.119999999999997</v>
      </c>
      <c r="G731" s="40" t="s">
        <v>362</v>
      </c>
      <c r="H731" s="43" cm="1">
        <f t="array" ref="H731">SUMPRODUCT(Tracking[Amount],--(Tracking[Date]&lt;=Tracking[[#This Row],[Date]]),(Tracking[Type]&lt;&gt;"Income")*(-1)+(Tracking[Type]="Income"))</f>
        <v>-2060.7699999999973</v>
      </c>
      <c r="I731" s="51">
        <f>IF(AND(Tracking[[#This Row],[Type]]="Income",shift_late_income_status="Active",DAY(Tracking[[#This Row],[Date]])&gt;=shift_late_income_starting_day),DATE(YEAR(Tracking[[#This Row],[Date]]),MONTH(Tracking[[#This Row],[Date]])+1,1),Tracking[[#This Row],[Date]])</f>
        <v>46146</v>
      </c>
    </row>
    <row r="732" spans="3:9" x14ac:dyDescent="0.3">
      <c r="C732" s="41">
        <v>46146</v>
      </c>
      <c r="D732" s="39" t="s">
        <v>9</v>
      </c>
      <c r="E732" s="39" t="s">
        <v>108</v>
      </c>
      <c r="F732" s="139">
        <v>52.34</v>
      </c>
      <c r="G732" s="40" t="s">
        <v>363</v>
      </c>
      <c r="H732" s="43" cm="1">
        <f t="array" ref="H732">SUMPRODUCT(Tracking[Amount],--(Tracking[Date]&lt;=Tracking[[#This Row],[Date]]),(Tracking[Type]&lt;&gt;"Income")*(-1)+(Tracking[Type]="Income"))</f>
        <v>-2060.7699999999973</v>
      </c>
      <c r="I732" s="51">
        <f>IF(AND(Tracking[[#This Row],[Type]]="Income",shift_late_income_status="Active",DAY(Tracking[[#This Row],[Date]])&gt;=shift_late_income_starting_day),DATE(YEAR(Tracking[[#This Row],[Date]]),MONTH(Tracking[[#This Row],[Date]])+1,1),Tracking[[#This Row],[Date]])</f>
        <v>46146</v>
      </c>
    </row>
    <row r="733" spans="3:9" x14ac:dyDescent="0.3">
      <c r="C733" s="41">
        <v>46147</v>
      </c>
      <c r="D733" s="39" t="s">
        <v>9</v>
      </c>
      <c r="E733" s="39" t="s">
        <v>10</v>
      </c>
      <c r="F733" s="139">
        <v>3.52</v>
      </c>
      <c r="G733" s="40" t="s">
        <v>364</v>
      </c>
      <c r="H733" s="43" cm="1">
        <f t="array" ref="H733">SUMPRODUCT(Tracking[Amount],--(Tracking[Date]&lt;=Tracking[[#This Row],[Date]]),(Tracking[Type]&lt;&gt;"Income")*(-1)+(Tracking[Type]="Income"))</f>
        <v>-2064.2899999999972</v>
      </c>
      <c r="I733" s="51">
        <f>IF(AND(Tracking[[#This Row],[Type]]="Income",shift_late_income_status="Active",DAY(Tracking[[#This Row],[Date]])&gt;=shift_late_income_starting_day),DATE(YEAR(Tracking[[#This Row],[Date]]),MONTH(Tracking[[#This Row],[Date]])+1,1),Tracking[[#This Row],[Date]])</f>
        <v>46147</v>
      </c>
    </row>
    <row r="734" spans="3:9" x14ac:dyDescent="0.3">
      <c r="C734" s="41">
        <v>46148</v>
      </c>
      <c r="D734" s="39" t="s">
        <v>14</v>
      </c>
      <c r="E734" s="39" t="s">
        <v>110</v>
      </c>
      <c r="F734" s="139">
        <v>250.34</v>
      </c>
      <c r="G734" s="40"/>
      <c r="H734" s="43" cm="1">
        <f t="array" ref="H734">SUMPRODUCT(Tracking[Amount],--(Tracking[Date]&lt;=Tracking[[#This Row],[Date]]),(Tracking[Type]&lt;&gt;"Income")*(-1)+(Tracking[Type]="Income"))</f>
        <v>-2807.6599999999976</v>
      </c>
      <c r="I734" s="51">
        <f>IF(AND(Tracking[[#This Row],[Type]]="Income",shift_late_income_status="Active",DAY(Tracking[[#This Row],[Date]])&gt;=shift_late_income_starting_day),DATE(YEAR(Tracking[[#This Row],[Date]]),MONTH(Tracking[[#This Row],[Date]])+1,1),Tracking[[#This Row],[Date]])</f>
        <v>46148</v>
      </c>
    </row>
    <row r="735" spans="3:9" x14ac:dyDescent="0.3">
      <c r="C735" s="41">
        <v>46148</v>
      </c>
      <c r="D735" s="39" t="s">
        <v>9</v>
      </c>
      <c r="E735" s="39" t="s">
        <v>108</v>
      </c>
      <c r="F735" s="139">
        <v>7.14</v>
      </c>
      <c r="G735" s="40" t="s">
        <v>183</v>
      </c>
      <c r="H735" s="43" cm="1">
        <f t="array" ref="H735">SUMPRODUCT(Tracking[Amount],--(Tracking[Date]&lt;=Tracking[[#This Row],[Date]]),(Tracking[Type]&lt;&gt;"Income")*(-1)+(Tracking[Type]="Income"))</f>
        <v>-2807.6599999999976</v>
      </c>
      <c r="I735" s="51">
        <f>IF(AND(Tracking[[#This Row],[Type]]="Income",shift_late_income_status="Active",DAY(Tracking[[#This Row],[Date]])&gt;=shift_late_income_starting_day),DATE(YEAR(Tracking[[#This Row],[Date]]),MONTH(Tracking[[#This Row],[Date]])+1,1),Tracking[[#This Row],[Date]])</f>
        <v>46148</v>
      </c>
    </row>
    <row r="736" spans="3:9" x14ac:dyDescent="0.3">
      <c r="C736" s="41">
        <v>46148</v>
      </c>
      <c r="D736" s="39" t="s">
        <v>9</v>
      </c>
      <c r="E736" s="39" t="s">
        <v>10</v>
      </c>
      <c r="F736" s="139">
        <v>16.11</v>
      </c>
      <c r="G736" s="40" t="s">
        <v>344</v>
      </c>
      <c r="H736" s="43" cm="1">
        <f t="array" ref="H736">SUMPRODUCT(Tracking[Amount],--(Tracking[Date]&lt;=Tracking[[#This Row],[Date]]),(Tracking[Type]&lt;&gt;"Income")*(-1)+(Tracking[Type]="Income"))</f>
        <v>-2807.6599999999976</v>
      </c>
      <c r="I736" s="51">
        <f>IF(AND(Tracking[[#This Row],[Type]]="Income",shift_late_income_status="Active",DAY(Tracking[[#This Row],[Date]])&gt;=shift_late_income_starting_day),DATE(YEAR(Tracking[[#This Row],[Date]]),MONTH(Tracking[[#This Row],[Date]])+1,1),Tracking[[#This Row],[Date]])</f>
        <v>46148</v>
      </c>
    </row>
    <row r="737" spans="3:9" x14ac:dyDescent="0.3">
      <c r="C737" s="41">
        <v>46148</v>
      </c>
      <c r="D737" s="39" t="s">
        <v>9</v>
      </c>
      <c r="E737" s="39" t="s">
        <v>318</v>
      </c>
      <c r="F737" s="139">
        <v>420</v>
      </c>
      <c r="G737" s="40" t="s">
        <v>365</v>
      </c>
      <c r="H737" s="43" cm="1">
        <f t="array" ref="H737">SUMPRODUCT(Tracking[Amount],--(Tracking[Date]&lt;=Tracking[[#This Row],[Date]]),(Tracking[Type]&lt;&gt;"Income")*(-1)+(Tracking[Type]="Income"))</f>
        <v>-2807.6599999999976</v>
      </c>
      <c r="I737" s="51">
        <f>IF(AND(Tracking[[#This Row],[Type]]="Income",shift_late_income_status="Active",DAY(Tracking[[#This Row],[Date]])&gt;=shift_late_income_starting_day),DATE(YEAR(Tracking[[#This Row],[Date]]),MONTH(Tracking[[#This Row],[Date]])+1,1),Tracking[[#This Row],[Date]])</f>
        <v>46148</v>
      </c>
    </row>
    <row r="738" spans="3:9" x14ac:dyDescent="0.3">
      <c r="C738" s="41">
        <v>46148</v>
      </c>
      <c r="D738" s="39" t="s">
        <v>9</v>
      </c>
      <c r="E738" s="39" t="s">
        <v>10</v>
      </c>
      <c r="F738" s="139">
        <v>12.3</v>
      </c>
      <c r="G738" s="40" t="s">
        <v>249</v>
      </c>
      <c r="H738" s="43" cm="1">
        <f t="array" ref="H738">SUMPRODUCT(Tracking[Amount],--(Tracking[Date]&lt;=Tracking[[#This Row],[Date]]),(Tracking[Type]&lt;&gt;"Income")*(-1)+(Tracking[Type]="Income"))</f>
        <v>-2807.6599999999976</v>
      </c>
      <c r="I738" s="51">
        <f>IF(AND(Tracking[[#This Row],[Type]]="Income",shift_late_income_status="Active",DAY(Tracking[[#This Row],[Date]])&gt;=shift_late_income_starting_day),DATE(YEAR(Tracking[[#This Row],[Date]]),MONTH(Tracking[[#This Row],[Date]])+1,1),Tracking[[#This Row],[Date]])</f>
        <v>46148</v>
      </c>
    </row>
    <row r="739" spans="3:9" x14ac:dyDescent="0.3">
      <c r="C739" s="41">
        <v>46149</v>
      </c>
      <c r="D739" s="39" t="s">
        <v>9</v>
      </c>
      <c r="E739" s="39" t="s">
        <v>108</v>
      </c>
      <c r="F739" s="139">
        <v>48.04</v>
      </c>
      <c r="G739" s="40" t="s">
        <v>366</v>
      </c>
      <c r="H739" s="43" cm="1">
        <f t="array" ref="H739">SUMPRODUCT(Tracking[Amount],--(Tracking[Date]&lt;=Tracking[[#This Row],[Date]]),(Tracking[Type]&lt;&gt;"Income")*(-1)+(Tracking[Type]="Income"))</f>
        <v>-2855.6999999999975</v>
      </c>
      <c r="I739" s="51">
        <f>IF(AND(Tracking[[#This Row],[Type]]="Income",shift_late_income_status="Active",DAY(Tracking[[#This Row],[Date]])&gt;=shift_late_income_starting_day),DATE(YEAR(Tracking[[#This Row],[Date]]),MONTH(Tracking[[#This Row],[Date]])+1,1),Tracking[[#This Row],[Date]])</f>
        <v>46149</v>
      </c>
    </row>
    <row r="740" spans="3:9" x14ac:dyDescent="0.3">
      <c r="C740" s="41">
        <v>46148</v>
      </c>
      <c r="D740" s="39" t="s">
        <v>9</v>
      </c>
      <c r="E740" s="39" t="s">
        <v>10</v>
      </c>
      <c r="F740" s="139">
        <v>37.479999999999997</v>
      </c>
      <c r="G740" s="40" t="s">
        <v>165</v>
      </c>
      <c r="H740" s="43" cm="1">
        <f t="array" ref="H740">SUMPRODUCT(Tracking[Amount],--(Tracking[Date]&lt;=Tracking[[#This Row],[Date]]),(Tracking[Type]&lt;&gt;"Income")*(-1)+(Tracking[Type]="Income"))</f>
        <v>-2807.6599999999976</v>
      </c>
      <c r="I740" s="51">
        <f>IF(AND(Tracking[[#This Row],[Type]]="Income",shift_late_income_status="Active",DAY(Tracking[[#This Row],[Date]])&gt;=shift_late_income_starting_day),DATE(YEAR(Tracking[[#This Row],[Date]]),MONTH(Tracking[[#This Row],[Date]])+1,1),Tracking[[#This Row],[Date]])</f>
        <v>46148</v>
      </c>
    </row>
    <row r="741" spans="3:9" x14ac:dyDescent="0.3">
      <c r="C741" s="41">
        <v>46148</v>
      </c>
      <c r="D741" s="39" t="s">
        <v>5</v>
      </c>
      <c r="E741" s="39" t="s">
        <v>106</v>
      </c>
      <c r="F741" s="139">
        <v>200</v>
      </c>
      <c r="G741" s="40"/>
      <c r="H741" s="43" cm="1">
        <f t="array" ref="H741">SUMPRODUCT(Tracking[Amount],--(Tracking[Date]&lt;=Tracking[[#This Row],[Date]]),(Tracking[Type]&lt;&gt;"Income")*(-1)+(Tracking[Type]="Income"))</f>
        <v>-2807.6599999999976</v>
      </c>
      <c r="I741" s="51">
        <f>IF(AND(Tracking[[#This Row],[Type]]="Income",shift_late_income_status="Active",DAY(Tracking[[#This Row],[Date]])&gt;=shift_late_income_starting_day),DATE(YEAR(Tracking[[#This Row],[Date]]),MONTH(Tracking[[#This Row],[Date]])+1,1),Tracking[[#This Row],[Date]])</f>
        <v>46148</v>
      </c>
    </row>
    <row r="742" spans="3:9" x14ac:dyDescent="0.3">
      <c r="C742" s="41">
        <v>46148</v>
      </c>
      <c r="D742" s="39" t="s">
        <v>14</v>
      </c>
      <c r="E742" s="39" t="s">
        <v>324</v>
      </c>
      <c r="F742" s="139">
        <v>200</v>
      </c>
      <c r="G742" s="40"/>
      <c r="H742" s="43" cm="1">
        <f t="array" ref="H742">SUMPRODUCT(Tracking[Amount],--(Tracking[Date]&lt;=Tracking[[#This Row],[Date]]),(Tracking[Type]&lt;&gt;"Income")*(-1)+(Tracking[Type]="Income"))</f>
        <v>-2807.6599999999976</v>
      </c>
      <c r="I742" s="51">
        <f>IF(AND(Tracking[[#This Row],[Type]]="Income",shift_late_income_status="Active",DAY(Tracking[[#This Row],[Date]])&gt;=shift_late_income_starting_day),DATE(YEAR(Tracking[[#This Row],[Date]]),MONTH(Tracking[[#This Row],[Date]])+1,1),Tracking[[#This Row],[Date]])</f>
        <v>46148</v>
      </c>
    </row>
    <row r="743" spans="3:9" x14ac:dyDescent="0.3">
      <c r="C743" s="41">
        <v>46150</v>
      </c>
      <c r="D743" s="39" t="s">
        <v>9</v>
      </c>
      <c r="E743" s="39" t="s">
        <v>10</v>
      </c>
      <c r="F743" s="139">
        <v>45</v>
      </c>
      <c r="G743" s="40" t="s">
        <v>242</v>
      </c>
      <c r="H743" s="43" cm="1">
        <f t="array" ref="H743">SUMPRODUCT(Tracking[Amount],--(Tracking[Date]&lt;=Tracking[[#This Row],[Date]]),(Tracking[Type]&lt;&gt;"Income")*(-1)+(Tracking[Type]="Income"))</f>
        <v>-2989.7699999999982</v>
      </c>
      <c r="I743" s="51">
        <f>IF(AND(Tracking[[#This Row],[Type]]="Income",shift_late_income_status="Active",DAY(Tracking[[#This Row],[Date]])&gt;=shift_late_income_starting_day),DATE(YEAR(Tracking[[#This Row],[Date]]),MONTH(Tracking[[#This Row],[Date]])+1,1),Tracking[[#This Row],[Date]])</f>
        <v>46150</v>
      </c>
    </row>
    <row r="744" spans="3:9" x14ac:dyDescent="0.3">
      <c r="C744" s="41">
        <v>46151</v>
      </c>
      <c r="D744" s="39" t="s">
        <v>9</v>
      </c>
      <c r="E744" s="39" t="s">
        <v>10</v>
      </c>
      <c r="F744" s="139">
        <v>9.3000000000000007</v>
      </c>
      <c r="G744" s="40" t="s">
        <v>259</v>
      </c>
      <c r="H744" s="43" cm="1">
        <f t="array" ref="H744">SUMPRODUCT(Tracking[Amount],--(Tracking[Date]&lt;=Tracking[[#This Row],[Date]]),(Tracking[Type]&lt;&gt;"Income")*(-1)+(Tracking[Type]="Income"))</f>
        <v>-3074.1199999999985</v>
      </c>
      <c r="I744" s="51">
        <f>IF(AND(Tracking[[#This Row],[Type]]="Income",shift_late_income_status="Active",DAY(Tracking[[#This Row],[Date]])&gt;=shift_late_income_starting_day),DATE(YEAR(Tracking[[#This Row],[Date]]),MONTH(Tracking[[#This Row],[Date]])+1,1),Tracking[[#This Row],[Date]])</f>
        <v>46151</v>
      </c>
    </row>
    <row r="745" spans="3:9" x14ac:dyDescent="0.3">
      <c r="C745" s="41">
        <v>46150</v>
      </c>
      <c r="D745" s="39" t="s">
        <v>9</v>
      </c>
      <c r="E745" s="39" t="s">
        <v>10</v>
      </c>
      <c r="F745" s="139">
        <v>19.63</v>
      </c>
      <c r="G745" s="40" t="s">
        <v>271</v>
      </c>
      <c r="H745" s="43" cm="1">
        <f t="array" ref="H745">SUMPRODUCT(Tracking[Amount],--(Tracking[Date]&lt;=Tracking[[#This Row],[Date]]),(Tracking[Type]&lt;&gt;"Income")*(-1)+(Tracking[Type]="Income"))</f>
        <v>-2989.7699999999982</v>
      </c>
      <c r="I745" s="51">
        <f>IF(AND(Tracking[[#This Row],[Type]]="Income",shift_late_income_status="Active",DAY(Tracking[[#This Row],[Date]])&gt;=shift_late_income_starting_day),DATE(YEAR(Tracking[[#This Row],[Date]]),MONTH(Tracking[[#This Row],[Date]])+1,1),Tracking[[#This Row],[Date]])</f>
        <v>46150</v>
      </c>
    </row>
    <row r="746" spans="3:9" x14ac:dyDescent="0.3">
      <c r="C746" s="41">
        <v>46151</v>
      </c>
      <c r="D746" s="39" t="s">
        <v>9</v>
      </c>
      <c r="E746" s="39" t="s">
        <v>10</v>
      </c>
      <c r="F746" s="139">
        <v>18.55</v>
      </c>
      <c r="G746" s="40" t="s">
        <v>252</v>
      </c>
      <c r="H746" s="43" cm="1">
        <f t="array" ref="H746">SUMPRODUCT(Tracking[Amount],--(Tracking[Date]&lt;=Tracking[[#This Row],[Date]]),(Tracking[Type]&lt;&gt;"Income")*(-1)+(Tracking[Type]="Income"))</f>
        <v>-3074.1199999999985</v>
      </c>
      <c r="I746" s="51">
        <f>IF(AND(Tracking[[#This Row],[Type]]="Income",shift_late_income_status="Active",DAY(Tracking[[#This Row],[Date]])&gt;=shift_late_income_starting_day),DATE(YEAR(Tracking[[#This Row],[Date]]),MONTH(Tracking[[#This Row],[Date]])+1,1),Tracking[[#This Row],[Date]])</f>
        <v>46151</v>
      </c>
    </row>
    <row r="747" spans="3:9" x14ac:dyDescent="0.3">
      <c r="C747" s="41">
        <v>46150</v>
      </c>
      <c r="D747" s="39" t="s">
        <v>9</v>
      </c>
      <c r="E747" s="39" t="s">
        <v>10</v>
      </c>
      <c r="F747" s="139">
        <v>7.55</v>
      </c>
      <c r="G747" s="40" t="s">
        <v>325</v>
      </c>
      <c r="H747" s="43" cm="1">
        <f t="array" ref="H747">SUMPRODUCT(Tracking[Amount],--(Tracking[Date]&lt;=Tracking[[#This Row],[Date]]),(Tracking[Type]&lt;&gt;"Income")*(-1)+(Tracking[Type]="Income"))</f>
        <v>-2989.7699999999982</v>
      </c>
      <c r="I747" s="51">
        <f>IF(AND(Tracking[[#This Row],[Type]]="Income",shift_late_income_status="Active",DAY(Tracking[[#This Row],[Date]])&gt;=shift_late_income_starting_day),DATE(YEAR(Tracking[[#This Row],[Date]]),MONTH(Tracking[[#This Row],[Date]])+1,1),Tracking[[#This Row],[Date]])</f>
        <v>46150</v>
      </c>
    </row>
    <row r="748" spans="3:9" x14ac:dyDescent="0.3">
      <c r="C748" s="41">
        <v>46150</v>
      </c>
      <c r="D748" s="39" t="s">
        <v>9</v>
      </c>
      <c r="E748" s="39" t="s">
        <v>10</v>
      </c>
      <c r="F748" s="139">
        <v>7.78</v>
      </c>
      <c r="G748" s="40" t="s">
        <v>272</v>
      </c>
      <c r="H748" s="43" cm="1">
        <f t="array" ref="H748">SUMPRODUCT(Tracking[Amount],--(Tracking[Date]&lt;=Tracking[[#This Row],[Date]]),(Tracking[Type]&lt;&gt;"Income")*(-1)+(Tracking[Type]="Income"))</f>
        <v>-2989.7699999999982</v>
      </c>
      <c r="I748" s="51">
        <f>IF(AND(Tracking[[#This Row],[Type]]="Income",shift_late_income_status="Active",DAY(Tracking[[#This Row],[Date]])&gt;=shift_late_income_starting_day),DATE(YEAR(Tracking[[#This Row],[Date]]),MONTH(Tracking[[#This Row],[Date]])+1,1),Tracking[[#This Row],[Date]])</f>
        <v>46150</v>
      </c>
    </row>
    <row r="749" spans="3:9" x14ac:dyDescent="0.3">
      <c r="C749" s="41">
        <v>46150</v>
      </c>
      <c r="D749" s="39" t="s">
        <v>9</v>
      </c>
      <c r="E749" s="39" t="s">
        <v>111</v>
      </c>
      <c r="F749" s="139">
        <v>54.11</v>
      </c>
      <c r="G749" s="40" t="s">
        <v>367</v>
      </c>
      <c r="H749" s="43" cm="1">
        <f t="array" ref="H749">SUMPRODUCT(Tracking[Amount],--(Tracking[Date]&lt;=Tracking[[#This Row],[Date]]),(Tracking[Type]&lt;&gt;"Income")*(-1)+(Tracking[Type]="Income"))</f>
        <v>-2989.7699999999982</v>
      </c>
      <c r="I749" s="51">
        <f>IF(AND(Tracking[[#This Row],[Type]]="Income",shift_late_income_status="Active",DAY(Tracking[[#This Row],[Date]])&gt;=shift_late_income_starting_day),DATE(YEAR(Tracking[[#This Row],[Date]]),MONTH(Tracking[[#This Row],[Date]])+1,1),Tracking[[#This Row],[Date]])</f>
        <v>46150</v>
      </c>
    </row>
    <row r="750" spans="3:9" x14ac:dyDescent="0.3">
      <c r="C750" s="41">
        <v>46151</v>
      </c>
      <c r="D750" s="39" t="s">
        <v>9</v>
      </c>
      <c r="E750" s="39" t="s">
        <v>318</v>
      </c>
      <c r="F750" s="139">
        <v>56.5</v>
      </c>
      <c r="G750" s="40" t="s">
        <v>368</v>
      </c>
      <c r="H750" s="43" cm="1">
        <f t="array" ref="H750">SUMPRODUCT(Tracking[Amount],--(Tracking[Date]&lt;=Tracking[[#This Row],[Date]]),(Tracking[Type]&lt;&gt;"Income")*(-1)+(Tracking[Type]="Income"))</f>
        <v>-3074.1199999999985</v>
      </c>
      <c r="I750" s="51">
        <f>IF(AND(Tracking[[#This Row],[Type]]="Income",shift_late_income_status="Active",DAY(Tracking[[#This Row],[Date]])&gt;=shift_late_income_starting_day),DATE(YEAR(Tracking[[#This Row],[Date]]),MONTH(Tracking[[#This Row],[Date]])+1,1),Tracking[[#This Row],[Date]])</f>
        <v>46151</v>
      </c>
    </row>
    <row r="751" spans="3:9" x14ac:dyDescent="0.3">
      <c r="C751" s="41">
        <v>46154</v>
      </c>
      <c r="D751" s="39" t="s">
        <v>9</v>
      </c>
      <c r="E751" s="39" t="s">
        <v>10</v>
      </c>
      <c r="F751" s="139">
        <v>6.71</v>
      </c>
      <c r="G751" s="40" t="s">
        <v>353</v>
      </c>
      <c r="H751" s="43" cm="1">
        <f t="array" ref="H751">SUMPRODUCT(Tracking[Amount],--(Tracking[Date]&lt;=Tracking[[#This Row],[Date]]),(Tracking[Type]&lt;&gt;"Income")*(-1)+(Tracking[Type]="Income"))</f>
        <v>-3158.0399999999986</v>
      </c>
      <c r="I751" s="51">
        <f>IF(AND(Tracking[[#This Row],[Type]]="Income",shift_late_income_status="Active",DAY(Tracking[[#This Row],[Date]])&gt;=shift_late_income_starting_day),DATE(YEAR(Tracking[[#This Row],[Date]]),MONTH(Tracking[[#This Row],[Date]])+1,1),Tracking[[#This Row],[Date]])</f>
        <v>46154</v>
      </c>
    </row>
    <row r="752" spans="3:9" x14ac:dyDescent="0.3">
      <c r="C752" s="41">
        <v>46154</v>
      </c>
      <c r="D752" s="39" t="s">
        <v>9</v>
      </c>
      <c r="E752" s="39" t="s">
        <v>10</v>
      </c>
      <c r="F752" s="139">
        <v>17.21</v>
      </c>
      <c r="G752" s="40" t="s">
        <v>304</v>
      </c>
      <c r="H752" s="43" cm="1">
        <f t="array" ref="H752">SUMPRODUCT(Tracking[Amount],--(Tracking[Date]&lt;=Tracking[[#This Row],[Date]]),(Tracking[Type]&lt;&gt;"Income")*(-1)+(Tracking[Type]="Income"))</f>
        <v>-3158.0399999999986</v>
      </c>
      <c r="I752" s="51">
        <f>IF(AND(Tracking[[#This Row],[Type]]="Income",shift_late_income_status="Active",DAY(Tracking[[#This Row],[Date]])&gt;=shift_late_income_starting_day),DATE(YEAR(Tracking[[#This Row],[Date]]),MONTH(Tracking[[#This Row],[Date]])+1,1),Tracking[[#This Row],[Date]])</f>
        <v>46154</v>
      </c>
    </row>
    <row r="753" spans="3:9" x14ac:dyDescent="0.3">
      <c r="C753" s="41">
        <v>46154</v>
      </c>
      <c r="D753" s="39" t="s">
        <v>9</v>
      </c>
      <c r="E753" s="39" t="s">
        <v>111</v>
      </c>
      <c r="F753" s="139">
        <v>60</v>
      </c>
      <c r="G753" s="40"/>
      <c r="H753" s="43" cm="1">
        <f t="array" ref="H753">SUMPRODUCT(Tracking[Amount],--(Tracking[Date]&lt;=Tracking[[#This Row],[Date]]),(Tracking[Type]&lt;&gt;"Income")*(-1)+(Tracking[Type]="Income"))</f>
        <v>-3158.0399999999986</v>
      </c>
      <c r="I753" s="51">
        <f>IF(AND(Tracking[[#This Row],[Type]]="Income",shift_late_income_status="Active",DAY(Tracking[[#This Row],[Date]])&gt;=shift_late_income_starting_day),DATE(YEAR(Tracking[[#This Row],[Date]]),MONTH(Tracking[[#This Row],[Date]])+1,1),Tracking[[#This Row],[Date]])</f>
        <v>46154</v>
      </c>
    </row>
    <row r="754" spans="3:9" x14ac:dyDescent="0.3">
      <c r="C754" s="41">
        <v>46155</v>
      </c>
      <c r="D754" s="39" t="s">
        <v>9</v>
      </c>
      <c r="E754" s="39" t="s">
        <v>12</v>
      </c>
      <c r="F754" s="139">
        <v>20.57</v>
      </c>
      <c r="G754" s="40" t="s">
        <v>369</v>
      </c>
      <c r="H754" s="43" cm="1">
        <f t="array" ref="H754">SUMPRODUCT(Tracking[Amount],--(Tracking[Date]&lt;=Tracking[[#This Row],[Date]]),(Tracking[Type]&lt;&gt;"Income")*(-1)+(Tracking[Type]="Income"))</f>
        <v>-3209.7399999999989</v>
      </c>
      <c r="I754" s="51">
        <f>IF(AND(Tracking[[#This Row],[Type]]="Income",shift_late_income_status="Active",DAY(Tracking[[#This Row],[Date]])&gt;=shift_late_income_starting_day),DATE(YEAR(Tracking[[#This Row],[Date]]),MONTH(Tracking[[#This Row],[Date]])+1,1),Tracking[[#This Row],[Date]])</f>
        <v>46155</v>
      </c>
    </row>
    <row r="755" spans="3:9" x14ac:dyDescent="0.3">
      <c r="C755" s="41">
        <v>46155</v>
      </c>
      <c r="D755" s="39" t="s">
        <v>9</v>
      </c>
      <c r="E755" s="39" t="s">
        <v>10</v>
      </c>
      <c r="F755" s="139">
        <v>31.13</v>
      </c>
      <c r="G755" s="40" t="s">
        <v>370</v>
      </c>
      <c r="H755" s="43" cm="1">
        <f t="array" ref="H755">SUMPRODUCT(Tracking[Amount],--(Tracking[Date]&lt;=Tracking[[#This Row],[Date]]),(Tracking[Type]&lt;&gt;"Income")*(-1)+(Tracking[Type]="Income"))</f>
        <v>-3209.7399999999989</v>
      </c>
      <c r="I755" s="51">
        <f>IF(AND(Tracking[[#This Row],[Type]]="Income",shift_late_income_status="Active",DAY(Tracking[[#This Row],[Date]])&gt;=shift_late_income_starting_day),DATE(YEAR(Tracking[[#This Row],[Date]]),MONTH(Tracking[[#This Row],[Date]])+1,1),Tracking[[#This Row],[Date]])</f>
        <v>46155</v>
      </c>
    </row>
    <row r="756" spans="3:9" x14ac:dyDescent="0.3">
      <c r="C756" s="41">
        <v>46156</v>
      </c>
      <c r="D756" s="39" t="s">
        <v>9</v>
      </c>
      <c r="E756" s="39" t="s">
        <v>10</v>
      </c>
      <c r="F756" s="139">
        <v>10.16</v>
      </c>
      <c r="G756" s="40" t="s">
        <v>145</v>
      </c>
      <c r="H756" s="43" cm="1">
        <f t="array" ref="H756">SUMPRODUCT(Tracking[Amount],--(Tracking[Date]&lt;=Tracking[[#This Row],[Date]]),(Tracking[Type]&lt;&gt;"Income")*(-1)+(Tracking[Type]="Income"))</f>
        <v>-3219.8999999999987</v>
      </c>
      <c r="I756" s="51">
        <f>IF(AND(Tracking[[#This Row],[Type]]="Income",shift_late_income_status="Active",DAY(Tracking[[#This Row],[Date]])&gt;=shift_late_income_starting_day),DATE(YEAR(Tracking[[#This Row],[Date]]),MONTH(Tracking[[#This Row],[Date]])+1,1),Tracking[[#This Row],[Date]])</f>
        <v>46156</v>
      </c>
    </row>
    <row r="757" spans="3:9" x14ac:dyDescent="0.3">
      <c r="C757" s="41">
        <v>46157</v>
      </c>
      <c r="D757" s="39" t="s">
        <v>5</v>
      </c>
      <c r="E757" s="39" t="s">
        <v>103</v>
      </c>
      <c r="F757" s="139">
        <v>823.15</v>
      </c>
      <c r="G757" s="40"/>
      <c r="H757" s="43" cm="1">
        <f t="array" ref="H757">SUMPRODUCT(Tracking[Amount],--(Tracking[Date]&lt;=Tracking[[#This Row],[Date]]),(Tracking[Type]&lt;&gt;"Income")*(-1)+(Tracking[Type]="Income"))</f>
        <v>-2438.5199999999986</v>
      </c>
      <c r="I757" s="51">
        <f>IF(AND(Tracking[[#This Row],[Type]]="Income",shift_late_income_status="Active",DAY(Tracking[[#This Row],[Date]])&gt;=shift_late_income_starting_day),DATE(YEAR(Tracking[[#This Row],[Date]]),MONTH(Tracking[[#This Row],[Date]])+1,1),Tracking[[#This Row],[Date]])</f>
        <v>46157</v>
      </c>
    </row>
    <row r="758" spans="3:9" x14ac:dyDescent="0.3">
      <c r="C758" s="41">
        <v>46157</v>
      </c>
      <c r="D758" s="39" t="s">
        <v>9</v>
      </c>
      <c r="E758" s="39" t="s">
        <v>10</v>
      </c>
      <c r="F758" s="139">
        <v>17.149999999999999</v>
      </c>
      <c r="G758" s="40" t="s">
        <v>271</v>
      </c>
      <c r="H758" s="43" cm="1">
        <f t="array" ref="H758">SUMPRODUCT(Tracking[Amount],--(Tracking[Date]&lt;=Tracking[[#This Row],[Date]]),(Tracking[Type]&lt;&gt;"Income")*(-1)+(Tracking[Type]="Income"))</f>
        <v>-2438.5199999999986</v>
      </c>
      <c r="I758" s="51">
        <f>IF(AND(Tracking[[#This Row],[Type]]="Income",shift_late_income_status="Active",DAY(Tracking[[#This Row],[Date]])&gt;=shift_late_income_starting_day),DATE(YEAR(Tracking[[#This Row],[Date]]),MONTH(Tracking[[#This Row],[Date]])+1,1),Tracking[[#This Row],[Date]])</f>
        <v>46157</v>
      </c>
    </row>
    <row r="759" spans="3:9" x14ac:dyDescent="0.3">
      <c r="C759" s="41">
        <v>46157</v>
      </c>
      <c r="D759" s="39" t="s">
        <v>9</v>
      </c>
      <c r="E759" s="39" t="s">
        <v>10</v>
      </c>
      <c r="F759" s="139">
        <v>24.62</v>
      </c>
      <c r="G759" s="40" t="s">
        <v>331</v>
      </c>
      <c r="H759" s="43" cm="1">
        <f t="array" ref="H759">SUMPRODUCT(Tracking[Amount],--(Tracking[Date]&lt;=Tracking[[#This Row],[Date]]),(Tracking[Type]&lt;&gt;"Income")*(-1)+(Tracking[Type]="Income"))</f>
        <v>-2438.5199999999986</v>
      </c>
      <c r="I759" s="51">
        <f>IF(AND(Tracking[[#This Row],[Type]]="Income",shift_late_income_status="Active",DAY(Tracking[[#This Row],[Date]])&gt;=shift_late_income_starting_day),DATE(YEAR(Tracking[[#This Row],[Date]]),MONTH(Tracking[[#This Row],[Date]])+1,1),Tracking[[#This Row],[Date]])</f>
        <v>46157</v>
      </c>
    </row>
    <row r="760" spans="3:9" x14ac:dyDescent="0.3">
      <c r="C760" s="41">
        <v>46160</v>
      </c>
      <c r="D760" s="39" t="s">
        <v>9</v>
      </c>
      <c r="E760" s="39" t="s">
        <v>10</v>
      </c>
      <c r="F760" s="139">
        <v>6.71</v>
      </c>
      <c r="G760" s="40" t="s">
        <v>371</v>
      </c>
      <c r="H760" s="43" cm="1">
        <f t="array" ref="H760">SUMPRODUCT(Tracking[Amount],--(Tracking[Date]&lt;=Tracking[[#This Row],[Date]]),(Tracking[Type]&lt;&gt;"Income")*(-1)+(Tracking[Type]="Income"))</f>
        <v>-2576.9399999999987</v>
      </c>
      <c r="I760" s="51">
        <f>IF(AND(Tracking[[#This Row],[Type]]="Income",shift_late_income_status="Active",DAY(Tracking[[#This Row],[Date]])&gt;=shift_late_income_starting_day),DATE(YEAR(Tracking[[#This Row],[Date]]),MONTH(Tracking[[#This Row],[Date]])+1,1),Tracking[[#This Row],[Date]])</f>
        <v>46160</v>
      </c>
    </row>
    <row r="761" spans="3:9" x14ac:dyDescent="0.3">
      <c r="C761" s="41">
        <v>46160</v>
      </c>
      <c r="D761" s="39" t="s">
        <v>9</v>
      </c>
      <c r="E761" s="39" t="s">
        <v>10</v>
      </c>
      <c r="F761" s="139">
        <v>10.81</v>
      </c>
      <c r="G761" s="40" t="s">
        <v>271</v>
      </c>
      <c r="H761" s="43" cm="1">
        <f t="array" ref="H761">SUMPRODUCT(Tracking[Amount],--(Tracking[Date]&lt;=Tracking[[#This Row],[Date]]),(Tracking[Type]&lt;&gt;"Income")*(-1)+(Tracking[Type]="Income"))</f>
        <v>-2576.9399999999987</v>
      </c>
      <c r="I761" s="51">
        <f>IF(AND(Tracking[[#This Row],[Type]]="Income",shift_late_income_status="Active",DAY(Tracking[[#This Row],[Date]])&gt;=shift_late_income_starting_day),DATE(YEAR(Tracking[[#This Row],[Date]]),MONTH(Tracking[[#This Row],[Date]])+1,1),Tracking[[#This Row],[Date]])</f>
        <v>46160</v>
      </c>
    </row>
    <row r="762" spans="3:9" x14ac:dyDescent="0.3">
      <c r="C762" s="41">
        <v>46160</v>
      </c>
      <c r="D762" s="39" t="s">
        <v>9</v>
      </c>
      <c r="E762" s="39" t="s">
        <v>10</v>
      </c>
      <c r="F762" s="139">
        <v>11.15</v>
      </c>
      <c r="G762" s="40" t="s">
        <v>372</v>
      </c>
      <c r="H762" s="43" cm="1">
        <f t="array" ref="H762">SUMPRODUCT(Tracking[Amount],--(Tracking[Date]&lt;=Tracking[[#This Row],[Date]]),(Tracking[Type]&lt;&gt;"Income")*(-1)+(Tracking[Type]="Income"))</f>
        <v>-2576.9399999999987</v>
      </c>
      <c r="I762" s="51">
        <f>IF(AND(Tracking[[#This Row],[Type]]="Income",shift_late_income_status="Active",DAY(Tracking[[#This Row],[Date]])&gt;=shift_late_income_starting_day),DATE(YEAR(Tracking[[#This Row],[Date]]),MONTH(Tracking[[#This Row],[Date]])+1,1),Tracking[[#This Row],[Date]])</f>
        <v>46160</v>
      </c>
    </row>
    <row r="763" spans="3:9" x14ac:dyDescent="0.3">
      <c r="C763" s="41">
        <v>46160</v>
      </c>
      <c r="D763" s="39" t="s">
        <v>9</v>
      </c>
      <c r="E763" s="39" t="s">
        <v>111</v>
      </c>
      <c r="F763" s="139">
        <v>11.9</v>
      </c>
      <c r="G763" s="40" t="s">
        <v>373</v>
      </c>
      <c r="H763" s="43" cm="1">
        <f t="array" ref="H763">SUMPRODUCT(Tracking[Amount],--(Tracking[Date]&lt;=Tracking[[#This Row],[Date]]),(Tracking[Type]&lt;&gt;"Income")*(-1)+(Tracking[Type]="Income"))</f>
        <v>-2576.9399999999987</v>
      </c>
      <c r="I763" s="51">
        <f>IF(AND(Tracking[[#This Row],[Type]]="Income",shift_late_income_status="Active",DAY(Tracking[[#This Row],[Date]])&gt;=shift_late_income_starting_day),DATE(YEAR(Tracking[[#This Row],[Date]]),MONTH(Tracking[[#This Row],[Date]])+1,1),Tracking[[#This Row],[Date]])</f>
        <v>46160</v>
      </c>
    </row>
    <row r="764" spans="3:9" x14ac:dyDescent="0.3">
      <c r="C764" s="41">
        <v>46160</v>
      </c>
      <c r="D764" s="39" t="s">
        <v>9</v>
      </c>
      <c r="E764" s="39" t="s">
        <v>10</v>
      </c>
      <c r="F764" s="139">
        <v>12.39</v>
      </c>
      <c r="G764" s="40" t="s">
        <v>259</v>
      </c>
      <c r="H764" s="43" cm="1">
        <f t="array" ref="H764">SUMPRODUCT(Tracking[Amount],--(Tracking[Date]&lt;=Tracking[[#This Row],[Date]]),(Tracking[Type]&lt;&gt;"Income")*(-1)+(Tracking[Type]="Income"))</f>
        <v>-2576.9399999999987</v>
      </c>
      <c r="I764" s="51">
        <f>IF(AND(Tracking[[#This Row],[Type]]="Income",shift_late_income_status="Active",DAY(Tracking[[#This Row],[Date]])&gt;=shift_late_income_starting_day),DATE(YEAR(Tracking[[#This Row],[Date]]),MONTH(Tracking[[#This Row],[Date]])+1,1),Tracking[[#This Row],[Date]])</f>
        <v>46160</v>
      </c>
    </row>
    <row r="765" spans="3:9" x14ac:dyDescent="0.3">
      <c r="C765" s="41">
        <v>46160</v>
      </c>
      <c r="D765" s="39" t="s">
        <v>9</v>
      </c>
      <c r="E765" s="39" t="s">
        <v>10</v>
      </c>
      <c r="F765" s="139">
        <v>23.26</v>
      </c>
      <c r="G765" s="40" t="s">
        <v>374</v>
      </c>
      <c r="H765" s="43" cm="1">
        <f t="array" ref="H765">SUMPRODUCT(Tracking[Amount],--(Tracking[Date]&lt;=Tracking[[#This Row],[Date]]),(Tracking[Type]&lt;&gt;"Income")*(-1)+(Tracking[Type]="Income"))</f>
        <v>-2576.9399999999987</v>
      </c>
      <c r="I765" s="51">
        <f>IF(AND(Tracking[[#This Row],[Type]]="Income",shift_late_income_status="Active",DAY(Tracking[[#This Row],[Date]])&gt;=shift_late_income_starting_day),DATE(YEAR(Tracking[[#This Row],[Date]]),MONTH(Tracking[[#This Row],[Date]])+1,1),Tracking[[#This Row],[Date]])</f>
        <v>46160</v>
      </c>
    </row>
    <row r="766" spans="3:9" x14ac:dyDescent="0.3">
      <c r="C766" s="41">
        <v>46160</v>
      </c>
      <c r="D766" s="39" t="s">
        <v>9</v>
      </c>
      <c r="E766" s="39" t="s">
        <v>10</v>
      </c>
      <c r="F766" s="139">
        <v>5.17</v>
      </c>
      <c r="G766" s="40" t="s">
        <v>259</v>
      </c>
      <c r="H766" s="43" cm="1">
        <f t="array" ref="H766">SUMPRODUCT(Tracking[Amount],--(Tracking[Date]&lt;=Tracking[[#This Row],[Date]]),(Tracking[Type]&lt;&gt;"Income")*(-1)+(Tracking[Type]="Income"))</f>
        <v>-2576.9399999999987</v>
      </c>
      <c r="I766" s="51">
        <f>IF(AND(Tracking[[#This Row],[Type]]="Income",shift_late_income_status="Active",DAY(Tracking[[#This Row],[Date]])&gt;=shift_late_income_starting_day),DATE(YEAR(Tracking[[#This Row],[Date]]),MONTH(Tracking[[#This Row],[Date]])+1,1),Tracking[[#This Row],[Date]])</f>
        <v>46160</v>
      </c>
    </row>
    <row r="767" spans="3:9" x14ac:dyDescent="0.3">
      <c r="C767" s="41">
        <v>46160</v>
      </c>
      <c r="D767" s="39" t="s">
        <v>9</v>
      </c>
      <c r="E767" s="39" t="s">
        <v>108</v>
      </c>
      <c r="F767" s="139">
        <v>10.27</v>
      </c>
      <c r="G767" s="40" t="s">
        <v>375</v>
      </c>
      <c r="H767" s="43" cm="1">
        <f t="array" ref="H767">SUMPRODUCT(Tracking[Amount],--(Tracking[Date]&lt;=Tracking[[#This Row],[Date]]),(Tracking[Type]&lt;&gt;"Income")*(-1)+(Tracking[Type]="Income"))</f>
        <v>-2576.9399999999987</v>
      </c>
      <c r="I767" s="51">
        <f>IF(AND(Tracking[[#This Row],[Type]]="Income",shift_late_income_status="Active",DAY(Tracking[[#This Row],[Date]])&gt;=shift_late_income_starting_day),DATE(YEAR(Tracking[[#This Row],[Date]]),MONTH(Tracking[[#This Row],[Date]])+1,1),Tracking[[#This Row],[Date]])</f>
        <v>46160</v>
      </c>
    </row>
    <row r="768" spans="3:9" x14ac:dyDescent="0.3">
      <c r="C768" s="41">
        <v>46161</v>
      </c>
      <c r="D768" s="39" t="s">
        <v>9</v>
      </c>
      <c r="E768" s="39" t="s">
        <v>10</v>
      </c>
      <c r="F768" s="139">
        <v>15.22</v>
      </c>
      <c r="G768" s="40" t="s">
        <v>376</v>
      </c>
      <c r="H768" s="43" cm="1">
        <f t="array" ref="H768">SUMPRODUCT(Tracking[Amount],--(Tracking[Date]&lt;=Tracking[[#This Row],[Date]]),(Tracking[Type]&lt;&gt;"Income")*(-1)+(Tracking[Type]="Income"))</f>
        <v>-2596.3799999999983</v>
      </c>
      <c r="I768" s="51">
        <f>IF(AND(Tracking[[#This Row],[Type]]="Income",shift_late_income_status="Active",DAY(Tracking[[#This Row],[Date]])&gt;=shift_late_income_starting_day),DATE(YEAR(Tracking[[#This Row],[Date]]),MONTH(Tracking[[#This Row],[Date]])+1,1),Tracking[[#This Row],[Date]])</f>
        <v>46161</v>
      </c>
    </row>
    <row r="769" spans="3:9" x14ac:dyDescent="0.3">
      <c r="C769" s="41">
        <v>46160</v>
      </c>
      <c r="D769" s="39" t="s">
        <v>9</v>
      </c>
      <c r="E769" s="39" t="s">
        <v>12</v>
      </c>
      <c r="F769" s="139">
        <v>10.23</v>
      </c>
      <c r="G769" s="40" t="s">
        <v>289</v>
      </c>
      <c r="H769" s="43" cm="1">
        <f t="array" ref="H769">SUMPRODUCT(Tracking[Amount],--(Tracking[Date]&lt;=Tracking[[#This Row],[Date]]),(Tracking[Type]&lt;&gt;"Income")*(-1)+(Tracking[Type]="Income"))</f>
        <v>-2576.9399999999987</v>
      </c>
      <c r="I769" s="51">
        <f>IF(AND(Tracking[[#This Row],[Type]]="Income",shift_late_income_status="Active",DAY(Tracking[[#This Row],[Date]])&gt;=shift_late_income_starting_day),DATE(YEAR(Tracking[[#This Row],[Date]]),MONTH(Tracking[[#This Row],[Date]])+1,1),Tracking[[#This Row],[Date]])</f>
        <v>46160</v>
      </c>
    </row>
    <row r="770" spans="3:9" x14ac:dyDescent="0.3">
      <c r="C770" s="41">
        <v>46160</v>
      </c>
      <c r="D770" s="39" t="s">
        <v>9</v>
      </c>
      <c r="E770" s="39" t="s">
        <v>10</v>
      </c>
      <c r="F770" s="139">
        <v>27.56</v>
      </c>
      <c r="G770" s="40" t="s">
        <v>248</v>
      </c>
      <c r="H770" s="43" cm="1">
        <f t="array" ref="H770">SUMPRODUCT(Tracking[Amount],--(Tracking[Date]&lt;=Tracking[[#This Row],[Date]]),(Tracking[Type]&lt;&gt;"Income")*(-1)+(Tracking[Type]="Income"))</f>
        <v>-2576.9399999999987</v>
      </c>
      <c r="I770" s="51">
        <f>IF(AND(Tracking[[#This Row],[Type]]="Income",shift_late_income_status="Active",DAY(Tracking[[#This Row],[Date]])&gt;=shift_late_income_starting_day),DATE(YEAR(Tracking[[#This Row],[Date]]),MONTH(Tracking[[#This Row],[Date]])+1,1),Tracking[[#This Row],[Date]])</f>
        <v>46160</v>
      </c>
    </row>
    <row r="771" spans="3:9" x14ac:dyDescent="0.3">
      <c r="C771" s="41">
        <v>46160</v>
      </c>
      <c r="D771" s="39" t="s">
        <v>9</v>
      </c>
      <c r="E771" s="39" t="s">
        <v>10</v>
      </c>
      <c r="F771" s="139">
        <v>8.9700000000000006</v>
      </c>
      <c r="G771" s="40" t="s">
        <v>145</v>
      </c>
      <c r="H771" s="43" cm="1">
        <f t="array" ref="H771">SUMPRODUCT(Tracking[Amount],--(Tracking[Date]&lt;=Tracking[[#This Row],[Date]]),(Tracking[Type]&lt;&gt;"Income")*(-1)+(Tracking[Type]="Income"))</f>
        <v>-2576.9399999999987</v>
      </c>
      <c r="I771" s="51">
        <f>IF(AND(Tracking[[#This Row],[Type]]="Income",shift_late_income_status="Active",DAY(Tracking[[#This Row],[Date]])&gt;=shift_late_income_starting_day),DATE(YEAR(Tracking[[#This Row],[Date]]),MONTH(Tracking[[#This Row],[Date]])+1,1),Tracking[[#This Row],[Date]])</f>
        <v>46160</v>
      </c>
    </row>
    <row r="772" spans="3:9" x14ac:dyDescent="0.3">
      <c r="C772" s="41">
        <v>46162</v>
      </c>
      <c r="D772" s="39" t="s">
        <v>9</v>
      </c>
      <c r="E772" s="39" t="s">
        <v>10</v>
      </c>
      <c r="F772" s="139">
        <v>6.71</v>
      </c>
      <c r="G772" s="40" t="s">
        <v>277</v>
      </c>
      <c r="H772" s="43" cm="1">
        <f t="array" ref="H772">SUMPRODUCT(Tracking[Amount],--(Tracking[Date]&lt;=Tracking[[#This Row],[Date]]),(Tracking[Type]&lt;&gt;"Income")*(-1)+(Tracking[Type]="Income"))</f>
        <v>-2636.9499999999985</v>
      </c>
      <c r="I772" s="51">
        <f>IF(AND(Tracking[[#This Row],[Type]]="Income",shift_late_income_status="Active",DAY(Tracking[[#This Row],[Date]])&gt;=shift_late_income_starting_day),DATE(YEAR(Tracking[[#This Row],[Date]]),MONTH(Tracking[[#This Row],[Date]])+1,1),Tracking[[#This Row],[Date]])</f>
        <v>46162</v>
      </c>
    </row>
    <row r="773" spans="3:9" x14ac:dyDescent="0.3">
      <c r="C773" s="41">
        <v>46161</v>
      </c>
      <c r="D773" s="39" t="s">
        <v>9</v>
      </c>
      <c r="E773" s="39" t="s">
        <v>111</v>
      </c>
      <c r="F773" s="139">
        <v>4.22</v>
      </c>
      <c r="G773" s="40" t="s">
        <v>377</v>
      </c>
      <c r="H773" s="43" cm="1">
        <f t="array" ref="H773">SUMPRODUCT(Tracking[Amount],--(Tracking[Date]&lt;=Tracking[[#This Row],[Date]]),(Tracking[Type]&lt;&gt;"Income")*(-1)+(Tracking[Type]="Income"))</f>
        <v>-2596.3799999999983</v>
      </c>
      <c r="I773" s="51">
        <f>IF(AND(Tracking[[#This Row],[Type]]="Income",shift_late_income_status="Active",DAY(Tracking[[#This Row],[Date]])&gt;=shift_late_income_starting_day),DATE(YEAR(Tracking[[#This Row],[Date]]),MONTH(Tracking[[#This Row],[Date]])+1,1),Tracking[[#This Row],[Date]])</f>
        <v>46161</v>
      </c>
    </row>
    <row r="774" spans="3:9" x14ac:dyDescent="0.3">
      <c r="C774" s="41">
        <v>46162</v>
      </c>
      <c r="D774" s="39" t="s">
        <v>9</v>
      </c>
      <c r="E774" s="39" t="s">
        <v>111</v>
      </c>
      <c r="F774" s="139">
        <v>23.8</v>
      </c>
      <c r="G774" s="40" t="s">
        <v>378</v>
      </c>
      <c r="H774" s="43" cm="1">
        <f t="array" ref="H774">SUMPRODUCT(Tracking[Amount],--(Tracking[Date]&lt;=Tracking[[#This Row],[Date]]),(Tracking[Type]&lt;&gt;"Income")*(-1)+(Tracking[Type]="Income"))</f>
        <v>-2636.9499999999985</v>
      </c>
      <c r="I774" s="51">
        <f>IF(AND(Tracking[[#This Row],[Type]]="Income",shift_late_income_status="Active",DAY(Tracking[[#This Row],[Date]])&gt;=shift_late_income_starting_day),DATE(YEAR(Tracking[[#This Row],[Date]]),MONTH(Tracking[[#This Row],[Date]])+1,1),Tracking[[#This Row],[Date]])</f>
        <v>46162</v>
      </c>
    </row>
    <row r="775" spans="3:9" x14ac:dyDescent="0.3">
      <c r="C775" s="41">
        <v>46162</v>
      </c>
      <c r="D775" s="39" t="s">
        <v>9</v>
      </c>
      <c r="E775" s="39" t="s">
        <v>111</v>
      </c>
      <c r="F775" s="139">
        <v>0</v>
      </c>
      <c r="G775" s="40" t="s">
        <v>367</v>
      </c>
      <c r="H775" s="43" cm="1">
        <f t="array" ref="H775">SUMPRODUCT(Tracking[Amount],--(Tracking[Date]&lt;=Tracking[[#This Row],[Date]]),(Tracking[Type]&lt;&gt;"Income")*(-1)+(Tracking[Type]="Income"))</f>
        <v>-2636.9499999999985</v>
      </c>
      <c r="I775" s="51">
        <f>IF(AND(Tracking[[#This Row],[Type]]="Income",shift_late_income_status="Active",DAY(Tracking[[#This Row],[Date]])&gt;=shift_late_income_starting_day),DATE(YEAR(Tracking[[#This Row],[Date]]),MONTH(Tracking[[#This Row],[Date]])+1,1),Tracking[[#This Row],[Date]])</f>
        <v>46162</v>
      </c>
    </row>
    <row r="776" spans="3:9" x14ac:dyDescent="0.3">
      <c r="C776" s="41">
        <v>46162</v>
      </c>
      <c r="D776" s="39" t="s">
        <v>9</v>
      </c>
      <c r="E776" s="39" t="s">
        <v>10</v>
      </c>
      <c r="F776" s="139">
        <v>10.06</v>
      </c>
      <c r="G776" s="40" t="s">
        <v>271</v>
      </c>
      <c r="H776" s="43" cm="1">
        <f t="array" ref="H776">SUMPRODUCT(Tracking[Amount],--(Tracking[Date]&lt;=Tracking[[#This Row],[Date]]),(Tracking[Type]&lt;&gt;"Income")*(-1)+(Tracking[Type]="Income"))</f>
        <v>-2636.9499999999985</v>
      </c>
      <c r="I776" s="51">
        <f>IF(AND(Tracking[[#This Row],[Type]]="Income",shift_late_income_status="Active",DAY(Tracking[[#This Row],[Date]])&gt;=shift_late_income_starting_day),DATE(YEAR(Tracking[[#This Row],[Date]]),MONTH(Tracking[[#This Row],[Date]])+1,1),Tracking[[#This Row],[Date]])</f>
        <v>46162</v>
      </c>
    </row>
    <row r="777" spans="3:9" x14ac:dyDescent="0.3">
      <c r="C777" s="41">
        <v>46170</v>
      </c>
      <c r="D777" s="39" t="s">
        <v>9</v>
      </c>
      <c r="E777" s="39" t="s">
        <v>10</v>
      </c>
      <c r="F777" s="139">
        <v>3.95</v>
      </c>
      <c r="G777" s="40" t="s">
        <v>379</v>
      </c>
      <c r="H777" s="43" cm="1">
        <f t="array" ref="H777">SUMPRODUCT(Tracking[Amount],--(Tracking[Date]&lt;=Tracking[[#This Row],[Date]]),(Tracking[Type]&lt;&gt;"Income")*(-1)+(Tracking[Type]="Income"))</f>
        <v>-3462.159999999998</v>
      </c>
      <c r="I777" s="51">
        <f>IF(AND(Tracking[[#This Row],[Type]]="Income",shift_late_income_status="Active",DAY(Tracking[[#This Row],[Date]])&gt;=shift_late_income_starting_day),DATE(YEAR(Tracking[[#This Row],[Date]]),MONTH(Tracking[[#This Row],[Date]])+1,1),Tracking[[#This Row],[Date]])</f>
        <v>46170</v>
      </c>
    </row>
    <row r="778" spans="3:9" x14ac:dyDescent="0.3">
      <c r="C778" s="41">
        <v>46170</v>
      </c>
      <c r="D778" s="39" t="s">
        <v>9</v>
      </c>
      <c r="E778" s="39" t="s">
        <v>12</v>
      </c>
      <c r="F778" s="139">
        <v>21.32</v>
      </c>
      <c r="G778" s="40" t="s">
        <v>380</v>
      </c>
      <c r="H778" s="43" cm="1">
        <f t="array" ref="H778">SUMPRODUCT(Tracking[Amount],--(Tracking[Date]&lt;=Tracking[[#This Row],[Date]]),(Tracking[Type]&lt;&gt;"Income")*(-1)+(Tracking[Type]="Income"))</f>
        <v>-3462.159999999998</v>
      </c>
      <c r="I778" s="51">
        <f>IF(AND(Tracking[[#This Row],[Type]]="Income",shift_late_income_status="Active",DAY(Tracking[[#This Row],[Date]])&gt;=shift_late_income_starting_day),DATE(YEAR(Tracking[[#This Row],[Date]]),MONTH(Tracking[[#This Row],[Date]])+1,1),Tracking[[#This Row],[Date]])</f>
        <v>46170</v>
      </c>
    </row>
    <row r="779" spans="3:9" x14ac:dyDescent="0.3">
      <c r="C779" s="41">
        <v>46170</v>
      </c>
      <c r="D779" s="39" t="s">
        <v>9</v>
      </c>
      <c r="E779" s="39" t="s">
        <v>381</v>
      </c>
      <c r="F779" s="139">
        <v>540.16999999999996</v>
      </c>
      <c r="G779" s="40" t="s">
        <v>258</v>
      </c>
      <c r="H779" s="43" cm="1">
        <f t="array" ref="H779">SUMPRODUCT(Tracking[Amount],--(Tracking[Date]&lt;=Tracking[[#This Row],[Date]]),(Tracking[Type]&lt;&gt;"Income")*(-1)+(Tracking[Type]="Income"))</f>
        <v>-3462.159999999998</v>
      </c>
      <c r="I779" s="51">
        <f>IF(AND(Tracking[[#This Row],[Type]]="Income",shift_late_income_status="Active",DAY(Tracking[[#This Row],[Date]])&gt;=shift_late_income_starting_day),DATE(YEAR(Tracking[[#This Row],[Date]]),MONTH(Tracking[[#This Row],[Date]])+1,1),Tracking[[#This Row],[Date]])</f>
        <v>46170</v>
      </c>
    </row>
    <row r="780" spans="3:9" x14ac:dyDescent="0.3">
      <c r="C780" s="41">
        <v>46169</v>
      </c>
      <c r="D780" s="39" t="s">
        <v>9</v>
      </c>
      <c r="E780" s="39" t="s">
        <v>10</v>
      </c>
      <c r="F780" s="139">
        <v>15.64</v>
      </c>
      <c r="G780" s="40" t="s">
        <v>304</v>
      </c>
      <c r="H780" s="43" cm="1">
        <f t="array" ref="H780">SUMPRODUCT(Tracking[Amount],--(Tracking[Date]&lt;=Tracking[[#This Row],[Date]]),(Tracking[Type]&lt;&gt;"Income")*(-1)+(Tracking[Type]="Income"))</f>
        <v>-2896.719999999998</v>
      </c>
      <c r="I780" s="51">
        <f>IF(AND(Tracking[[#This Row],[Type]]="Income",shift_late_income_status="Active",DAY(Tracking[[#This Row],[Date]])&gt;=shift_late_income_starting_day),DATE(YEAR(Tracking[[#This Row],[Date]]),MONTH(Tracking[[#This Row],[Date]])+1,1),Tracking[[#This Row],[Date]])</f>
        <v>46169</v>
      </c>
    </row>
    <row r="781" spans="3:9" x14ac:dyDescent="0.3">
      <c r="C781" s="41">
        <v>46169</v>
      </c>
      <c r="D781" s="39" t="s">
        <v>9</v>
      </c>
      <c r="E781" s="39" t="s">
        <v>10</v>
      </c>
      <c r="F781" s="139">
        <v>6.17</v>
      </c>
      <c r="G781" s="40" t="s">
        <v>304</v>
      </c>
      <c r="H781" s="43" cm="1">
        <f t="array" ref="H781">SUMPRODUCT(Tracking[Amount],--(Tracking[Date]&lt;=Tracking[[#This Row],[Date]]),(Tracking[Type]&lt;&gt;"Income")*(-1)+(Tracking[Type]="Income"))</f>
        <v>-2896.719999999998</v>
      </c>
      <c r="I781" s="51">
        <f>IF(AND(Tracking[[#This Row],[Type]]="Income",shift_late_income_status="Active",DAY(Tracking[[#This Row],[Date]])&gt;=shift_late_income_starting_day),DATE(YEAR(Tracking[[#This Row],[Date]]),MONTH(Tracking[[#This Row],[Date]])+1,1),Tracking[[#This Row],[Date]])</f>
        <v>46169</v>
      </c>
    </row>
    <row r="782" spans="3:9" x14ac:dyDescent="0.3">
      <c r="C782" s="41">
        <v>46169</v>
      </c>
      <c r="D782" s="39" t="s">
        <v>9</v>
      </c>
      <c r="E782" s="39" t="s">
        <v>10</v>
      </c>
      <c r="F782" s="139">
        <v>2.11</v>
      </c>
      <c r="G782" s="40" t="s">
        <v>304</v>
      </c>
      <c r="H782" s="43" cm="1">
        <f t="array" ref="H782">SUMPRODUCT(Tracking[Amount],--(Tracking[Date]&lt;=Tracking[[#This Row],[Date]]),(Tracking[Type]&lt;&gt;"Income")*(-1)+(Tracking[Type]="Income"))</f>
        <v>-2896.719999999998</v>
      </c>
      <c r="I782" s="51">
        <f>IF(AND(Tracking[[#This Row],[Type]]="Income",shift_late_income_status="Active",DAY(Tracking[[#This Row],[Date]])&gt;=shift_late_income_starting_day),DATE(YEAR(Tracking[[#This Row],[Date]]),MONTH(Tracking[[#This Row],[Date]])+1,1),Tracking[[#This Row],[Date]])</f>
        <v>46169</v>
      </c>
    </row>
    <row r="783" spans="3:9" x14ac:dyDescent="0.3">
      <c r="C783" s="41">
        <v>46169</v>
      </c>
      <c r="D783" s="39" t="s">
        <v>9</v>
      </c>
      <c r="E783" s="39" t="s">
        <v>12</v>
      </c>
      <c r="F783" s="139">
        <v>2.13</v>
      </c>
      <c r="G783" s="40" t="s">
        <v>382</v>
      </c>
      <c r="H783" s="43" cm="1">
        <f t="array" ref="H783">SUMPRODUCT(Tracking[Amount],--(Tracking[Date]&lt;=Tracking[[#This Row],[Date]]),(Tracking[Type]&lt;&gt;"Income")*(-1)+(Tracking[Type]="Income"))</f>
        <v>-2896.719999999998</v>
      </c>
      <c r="I783" s="51">
        <f>IF(AND(Tracking[[#This Row],[Type]]="Income",shift_late_income_status="Active",DAY(Tracking[[#This Row],[Date]])&gt;=shift_late_income_starting_day),DATE(YEAR(Tracking[[#This Row],[Date]]),MONTH(Tracking[[#This Row],[Date]])+1,1),Tracking[[#This Row],[Date]])</f>
        <v>46169</v>
      </c>
    </row>
    <row r="784" spans="3:9" x14ac:dyDescent="0.3">
      <c r="C784" s="41">
        <v>46168</v>
      </c>
      <c r="D784" s="39" t="s">
        <v>9</v>
      </c>
      <c r="E784" s="39" t="s">
        <v>10</v>
      </c>
      <c r="F784" s="139">
        <v>26.95</v>
      </c>
      <c r="G784" s="40" t="s">
        <v>177</v>
      </c>
      <c r="H784" s="43" cm="1">
        <f t="array" ref="H784">SUMPRODUCT(Tracking[Amount],--(Tracking[Date]&lt;=Tracking[[#This Row],[Date]]),(Tracking[Type]&lt;&gt;"Income")*(-1)+(Tracking[Type]="Income"))</f>
        <v>-2870.6699999999978</v>
      </c>
      <c r="I784" s="51">
        <f>IF(AND(Tracking[[#This Row],[Type]]="Income",shift_late_income_status="Active",DAY(Tracking[[#This Row],[Date]])&gt;=shift_late_income_starting_day),DATE(YEAR(Tracking[[#This Row],[Date]]),MONTH(Tracking[[#This Row],[Date]])+1,1),Tracking[[#This Row],[Date]])</f>
        <v>46168</v>
      </c>
    </row>
    <row r="785" spans="3:9" x14ac:dyDescent="0.3">
      <c r="C785" s="41">
        <v>46168</v>
      </c>
      <c r="D785" s="39" t="s">
        <v>9</v>
      </c>
      <c r="E785" s="39" t="s">
        <v>108</v>
      </c>
      <c r="F785" s="139">
        <v>20</v>
      </c>
      <c r="G785" s="40" t="s">
        <v>383</v>
      </c>
      <c r="H785" s="43" cm="1">
        <f t="array" ref="H785">SUMPRODUCT(Tracking[Amount],--(Tracking[Date]&lt;=Tracking[[#This Row],[Date]]),(Tracking[Type]&lt;&gt;"Income")*(-1)+(Tracking[Type]="Income"))</f>
        <v>-2870.6699999999978</v>
      </c>
      <c r="I785" s="51">
        <f>IF(AND(Tracking[[#This Row],[Type]]="Income",shift_late_income_status="Active",DAY(Tracking[[#This Row],[Date]])&gt;=shift_late_income_starting_day),DATE(YEAR(Tracking[[#This Row],[Date]]),MONTH(Tracking[[#This Row],[Date]])+1,1),Tracking[[#This Row],[Date]])</f>
        <v>46168</v>
      </c>
    </row>
    <row r="786" spans="3:9" x14ac:dyDescent="0.3">
      <c r="C786" s="41">
        <v>46168</v>
      </c>
      <c r="D786" s="39" t="s">
        <v>9</v>
      </c>
      <c r="E786" s="39" t="s">
        <v>10</v>
      </c>
      <c r="F786" s="139">
        <v>13.66</v>
      </c>
      <c r="G786" s="40" t="s">
        <v>384</v>
      </c>
      <c r="H786" s="43" cm="1">
        <f t="array" ref="H786">SUMPRODUCT(Tracking[Amount],--(Tracking[Date]&lt;=Tracking[[#This Row],[Date]]),(Tracking[Type]&lt;&gt;"Income")*(-1)+(Tracking[Type]="Income"))</f>
        <v>-2870.6699999999978</v>
      </c>
      <c r="I786" s="51">
        <f>IF(AND(Tracking[[#This Row],[Type]]="Income",shift_late_income_status="Active",DAY(Tracking[[#This Row],[Date]])&gt;=shift_late_income_starting_day),DATE(YEAR(Tracking[[#This Row],[Date]]),MONTH(Tracking[[#This Row],[Date]])+1,1),Tracking[[#This Row],[Date]])</f>
        <v>46168</v>
      </c>
    </row>
    <row r="787" spans="3:9" x14ac:dyDescent="0.3">
      <c r="C787" s="41">
        <v>46168</v>
      </c>
      <c r="D787" s="39" t="s">
        <v>9</v>
      </c>
      <c r="E787" s="39" t="s">
        <v>10</v>
      </c>
      <c r="F787" s="139">
        <v>6.52</v>
      </c>
      <c r="G787" s="40" t="s">
        <v>385</v>
      </c>
      <c r="H787" s="43" cm="1">
        <f t="array" ref="H787">SUMPRODUCT(Tracking[Amount],--(Tracking[Date]&lt;=Tracking[[#This Row],[Date]]),(Tracking[Type]&lt;&gt;"Income")*(-1)+(Tracking[Type]="Income"))</f>
        <v>-2870.6699999999978</v>
      </c>
      <c r="I787" s="51">
        <f>IF(AND(Tracking[[#This Row],[Type]]="Income",shift_late_income_status="Active",DAY(Tracking[[#This Row],[Date]])&gt;=shift_late_income_starting_day),DATE(YEAR(Tracking[[#This Row],[Date]]),MONTH(Tracking[[#This Row],[Date]])+1,1),Tracking[[#This Row],[Date]])</f>
        <v>46168</v>
      </c>
    </row>
    <row r="788" spans="3:9" x14ac:dyDescent="0.3">
      <c r="C788" s="41">
        <v>46168</v>
      </c>
      <c r="D788" s="39" t="s">
        <v>9</v>
      </c>
      <c r="E788" s="39" t="s">
        <v>10</v>
      </c>
      <c r="F788" s="139">
        <v>3.95</v>
      </c>
      <c r="G788" s="40" t="s">
        <v>379</v>
      </c>
      <c r="H788" s="43" cm="1">
        <f t="array" ref="H788">SUMPRODUCT(Tracking[Amount],--(Tracking[Date]&lt;=Tracking[[#This Row],[Date]]),(Tracking[Type]&lt;&gt;"Income")*(-1)+(Tracking[Type]="Income"))</f>
        <v>-2870.6699999999978</v>
      </c>
      <c r="I788" s="51">
        <f>IF(AND(Tracking[[#This Row],[Type]]="Income",shift_late_income_status="Active",DAY(Tracking[[#This Row],[Date]])&gt;=shift_late_income_starting_day),DATE(YEAR(Tracking[[#This Row],[Date]]),MONTH(Tracking[[#This Row],[Date]])+1,1),Tracking[[#This Row],[Date]])</f>
        <v>46168</v>
      </c>
    </row>
    <row r="789" spans="3:9" x14ac:dyDescent="0.3">
      <c r="C789" s="41">
        <v>46164</v>
      </c>
      <c r="D789" s="39" t="s">
        <v>9</v>
      </c>
      <c r="E789" s="39" t="s">
        <v>108</v>
      </c>
      <c r="F789" s="139">
        <v>107.99</v>
      </c>
      <c r="G789" s="40" t="s">
        <v>386</v>
      </c>
      <c r="H789" s="43" cm="1">
        <f t="array" ref="H789">SUMPRODUCT(Tracking[Amount],--(Tracking[Date]&lt;=Tracking[[#This Row],[Date]]),(Tracking[Type]&lt;&gt;"Income")*(-1)+(Tracking[Type]="Income"))</f>
        <v>-2799.5899999999983</v>
      </c>
      <c r="I789" s="51">
        <f>IF(AND(Tracking[[#This Row],[Type]]="Income",shift_late_income_status="Active",DAY(Tracking[[#This Row],[Date]])&gt;=shift_late_income_starting_day),DATE(YEAR(Tracking[[#This Row],[Date]]),MONTH(Tracking[[#This Row],[Date]])+1,1),Tracking[[#This Row],[Date]])</f>
        <v>46164</v>
      </c>
    </row>
    <row r="790" spans="3:9" x14ac:dyDescent="0.3">
      <c r="C790" s="41">
        <v>46164</v>
      </c>
      <c r="D790" s="39" t="s">
        <v>9</v>
      </c>
      <c r="E790" s="39" t="s">
        <v>11</v>
      </c>
      <c r="F790" s="139">
        <v>11.9</v>
      </c>
      <c r="G790" s="40" t="s">
        <v>387</v>
      </c>
      <c r="H790" s="43" cm="1">
        <f t="array" ref="H790">SUMPRODUCT(Tracking[Amount],--(Tracking[Date]&lt;=Tracking[[#This Row],[Date]]),(Tracking[Type]&lt;&gt;"Income")*(-1)+(Tracking[Type]="Income"))</f>
        <v>-2799.5899999999983</v>
      </c>
      <c r="I790" s="51">
        <f>IF(AND(Tracking[[#This Row],[Type]]="Income",shift_late_income_status="Active",DAY(Tracking[[#This Row],[Date]])&gt;=shift_late_income_starting_day),DATE(YEAR(Tracking[[#This Row],[Date]]),MONTH(Tracking[[#This Row],[Date]])+1,1),Tracking[[#This Row],[Date]])</f>
        <v>46164</v>
      </c>
    </row>
    <row r="791" spans="3:9" x14ac:dyDescent="0.3">
      <c r="C791" s="41">
        <v>46164</v>
      </c>
      <c r="D791" s="39" t="s">
        <v>9</v>
      </c>
      <c r="E791" s="39" t="s">
        <v>111</v>
      </c>
      <c r="F791" s="139">
        <v>10.83</v>
      </c>
      <c r="G791" s="40" t="s">
        <v>258</v>
      </c>
      <c r="H791" s="43" cm="1">
        <f t="array" ref="H791">SUMPRODUCT(Tracking[Amount],--(Tracking[Date]&lt;=Tracking[[#This Row],[Date]]),(Tracking[Type]&lt;&gt;"Income")*(-1)+(Tracking[Type]="Income"))</f>
        <v>-2799.5899999999983</v>
      </c>
      <c r="I791" s="51">
        <f>IF(AND(Tracking[[#This Row],[Type]]="Income",shift_late_income_status="Active",DAY(Tracking[[#This Row],[Date]])&gt;=shift_late_income_starting_day),DATE(YEAR(Tracking[[#This Row],[Date]]),MONTH(Tracking[[#This Row],[Date]])+1,1),Tracking[[#This Row],[Date]])</f>
        <v>46164</v>
      </c>
    </row>
    <row r="792" spans="3:9" x14ac:dyDescent="0.3">
      <c r="C792" s="41">
        <v>46164</v>
      </c>
      <c r="D792" s="39" t="s">
        <v>9</v>
      </c>
      <c r="E792" s="39" t="s">
        <v>10</v>
      </c>
      <c r="F792" s="139">
        <v>10.06</v>
      </c>
      <c r="G792" s="40" t="s">
        <v>379</v>
      </c>
      <c r="H792" s="43" cm="1">
        <f t="array" ref="H792">SUMPRODUCT(Tracking[Amount],--(Tracking[Date]&lt;=Tracking[[#This Row],[Date]]),(Tracking[Type]&lt;&gt;"Income")*(-1)+(Tracking[Type]="Income"))</f>
        <v>-2799.5899999999983</v>
      </c>
      <c r="I792" s="51">
        <f>IF(AND(Tracking[[#This Row],[Type]]="Income",shift_late_income_status="Active",DAY(Tracking[[#This Row],[Date]])&gt;=shift_late_income_starting_day),DATE(YEAR(Tracking[[#This Row],[Date]]),MONTH(Tracking[[#This Row],[Date]])+1,1),Tracking[[#This Row],[Date]])</f>
        <v>46164</v>
      </c>
    </row>
    <row r="793" spans="3:9" x14ac:dyDescent="0.3">
      <c r="C793" s="41">
        <v>46164</v>
      </c>
      <c r="D793" s="39" t="s">
        <v>9</v>
      </c>
      <c r="E793" s="39" t="s">
        <v>108</v>
      </c>
      <c r="F793" s="139">
        <v>10.01</v>
      </c>
      <c r="G793" s="40" t="s">
        <v>388</v>
      </c>
      <c r="H793" s="43" cm="1">
        <f t="array" ref="H793">SUMPRODUCT(Tracking[Amount],--(Tracking[Date]&lt;=Tracking[[#This Row],[Date]]),(Tracking[Type]&lt;&gt;"Income")*(-1)+(Tracking[Type]="Income"))</f>
        <v>-2799.5899999999983</v>
      </c>
      <c r="I793" s="51">
        <f>IF(AND(Tracking[[#This Row],[Type]]="Income",shift_late_income_status="Active",DAY(Tracking[[#This Row],[Date]])&gt;=shift_late_income_starting_day),DATE(YEAR(Tracking[[#This Row],[Date]]),MONTH(Tracking[[#This Row],[Date]])+1,1),Tracking[[#This Row],[Date]])</f>
        <v>46164</v>
      </c>
    </row>
    <row r="794" spans="3:9" x14ac:dyDescent="0.3">
      <c r="C794" s="41">
        <v>46164</v>
      </c>
      <c r="D794" s="39" t="s">
        <v>9</v>
      </c>
      <c r="E794" s="39" t="s">
        <v>10</v>
      </c>
      <c r="F794" s="139">
        <v>6.47</v>
      </c>
      <c r="G794" s="40" t="s">
        <v>272</v>
      </c>
      <c r="H794" s="43" cm="1">
        <f t="array" ref="H794">SUMPRODUCT(Tracking[Amount],--(Tracking[Date]&lt;=Tracking[[#This Row],[Date]]),(Tracking[Type]&lt;&gt;"Income")*(-1)+(Tracking[Type]="Income"))</f>
        <v>-2799.5899999999983</v>
      </c>
      <c r="I794" s="51">
        <f>IF(AND(Tracking[[#This Row],[Type]]="Income",shift_late_income_status="Active",DAY(Tracking[[#This Row],[Date]])&gt;=shift_late_income_starting_day),DATE(YEAR(Tracking[[#This Row],[Date]]),MONTH(Tracking[[#This Row],[Date]])+1,1),Tracking[[#This Row],[Date]])</f>
        <v>46164</v>
      </c>
    </row>
    <row r="795" spans="3:9" x14ac:dyDescent="0.3">
      <c r="C795" s="41">
        <v>46164</v>
      </c>
      <c r="D795" s="39" t="s">
        <v>9</v>
      </c>
      <c r="E795" s="39" t="s">
        <v>111</v>
      </c>
      <c r="F795" s="139">
        <v>5.38</v>
      </c>
      <c r="G795" s="40" t="s">
        <v>227</v>
      </c>
      <c r="H795" s="43" cm="1">
        <f t="array" ref="H795">SUMPRODUCT(Tracking[Amount],--(Tracking[Date]&lt;=Tracking[[#This Row],[Date]]),(Tracking[Type]&lt;&gt;"Income")*(-1)+(Tracking[Type]="Income"))</f>
        <v>-2799.5899999999983</v>
      </c>
      <c r="I795" s="51">
        <f>IF(AND(Tracking[[#This Row],[Type]]="Income",shift_late_income_status="Active",DAY(Tracking[[#This Row],[Date]])&gt;=shift_late_income_starting_day),DATE(YEAR(Tracking[[#This Row],[Date]]),MONTH(Tracking[[#This Row],[Date]])+1,1),Tracking[[#This Row],[Date]])</f>
        <v>46164</v>
      </c>
    </row>
    <row r="796" spans="3:9" x14ac:dyDescent="0.3">
      <c r="C796" s="41">
        <v>46171</v>
      </c>
      <c r="D796" s="39" t="s">
        <v>5</v>
      </c>
      <c r="E796" s="39" t="s">
        <v>103</v>
      </c>
      <c r="F796" s="139">
        <v>975.14</v>
      </c>
      <c r="G796" s="40"/>
      <c r="H796" s="43" cm="1">
        <f t="array" ref="H796">SUMPRODUCT(Tracking[Amount],--(Tracking[Date]&lt;=Tracking[[#This Row],[Date]]),(Tracking[Type]&lt;&gt;"Income")*(-1)+(Tracking[Type]="Income"))</f>
        <v>-2570.5699999999979</v>
      </c>
      <c r="I796" s="51">
        <f>IF(AND(Tracking[[#This Row],[Type]]="Income",shift_late_income_status="Active",DAY(Tracking[[#This Row],[Date]])&gt;=shift_late_income_starting_day),DATE(YEAR(Tracking[[#This Row],[Date]]),MONTH(Tracking[[#This Row],[Date]])+1,1),Tracking[[#This Row],[Date]])</f>
        <v>46174</v>
      </c>
    </row>
    <row r="797" spans="3:9" x14ac:dyDescent="0.3">
      <c r="C797" s="41">
        <v>46176</v>
      </c>
      <c r="D797" s="39" t="s">
        <v>9</v>
      </c>
      <c r="E797" s="39" t="s">
        <v>10</v>
      </c>
      <c r="F797" s="139">
        <v>17</v>
      </c>
      <c r="G797" s="40" t="s">
        <v>389</v>
      </c>
      <c r="H797" s="43" cm="1">
        <f t="array" ref="H797">SUMPRODUCT(Tracking[Amount],--(Tracking[Date]&lt;=Tracking[[#This Row],[Date]]),(Tracking[Type]&lt;&gt;"Income")*(-1)+(Tracking[Type]="Income"))</f>
        <v>-2983.0699999999974</v>
      </c>
      <c r="I797" s="51">
        <f>IF(AND(Tracking[[#This Row],[Type]]="Income",shift_late_income_status="Active",DAY(Tracking[[#This Row],[Date]])&gt;=shift_late_income_starting_day),DATE(YEAR(Tracking[[#This Row],[Date]]),MONTH(Tracking[[#This Row],[Date]])+1,1),Tracking[[#This Row],[Date]])</f>
        <v>46176</v>
      </c>
    </row>
    <row r="798" spans="3:9" x14ac:dyDescent="0.3">
      <c r="C798" s="41">
        <v>46176</v>
      </c>
      <c r="D798" s="39" t="s">
        <v>9</v>
      </c>
      <c r="E798" s="39" t="s">
        <v>10</v>
      </c>
      <c r="F798" s="139">
        <v>16.239999999999998</v>
      </c>
      <c r="G798" s="40" t="s">
        <v>389</v>
      </c>
      <c r="H798" s="43" cm="1">
        <f t="array" ref="H798">SUMPRODUCT(Tracking[Amount],--(Tracking[Date]&lt;=Tracking[[#This Row],[Date]]),(Tracking[Type]&lt;&gt;"Income")*(-1)+(Tracking[Type]="Income"))</f>
        <v>-2983.0699999999974</v>
      </c>
      <c r="I798" s="51">
        <f>IF(AND(Tracking[[#This Row],[Type]]="Income",shift_late_income_status="Active",DAY(Tracking[[#This Row],[Date]])&gt;=shift_late_income_starting_day),DATE(YEAR(Tracking[[#This Row],[Date]]),MONTH(Tracking[[#This Row],[Date]])+1,1),Tracking[[#This Row],[Date]])</f>
        <v>46176</v>
      </c>
    </row>
    <row r="799" spans="3:9" x14ac:dyDescent="0.3">
      <c r="C799" s="41">
        <v>46176</v>
      </c>
      <c r="D799" s="39" t="s">
        <v>9</v>
      </c>
      <c r="E799" s="39" t="s">
        <v>12</v>
      </c>
      <c r="F799" s="139">
        <v>16.18</v>
      </c>
      <c r="G799" s="40" t="s">
        <v>289</v>
      </c>
      <c r="H799" s="43" cm="1">
        <f t="array" ref="H799">SUMPRODUCT(Tracking[Amount],--(Tracking[Date]&lt;=Tracking[[#This Row],[Date]]),(Tracking[Type]&lt;&gt;"Income")*(-1)+(Tracking[Type]="Income"))</f>
        <v>-2983.0699999999974</v>
      </c>
      <c r="I799" s="51">
        <f>IF(AND(Tracking[[#This Row],[Type]]="Income",shift_late_income_status="Active",DAY(Tracking[[#This Row],[Date]])&gt;=shift_late_income_starting_day),DATE(YEAR(Tracking[[#This Row],[Date]]),MONTH(Tracking[[#This Row],[Date]])+1,1),Tracking[[#This Row],[Date]])</f>
        <v>46176</v>
      </c>
    </row>
    <row r="800" spans="3:9" x14ac:dyDescent="0.3">
      <c r="C800" s="41">
        <v>46176</v>
      </c>
      <c r="D800" s="39" t="s">
        <v>9</v>
      </c>
      <c r="E800" s="39" t="s">
        <v>10</v>
      </c>
      <c r="F800" s="139">
        <v>11.01</v>
      </c>
      <c r="G800" s="40" t="s">
        <v>388</v>
      </c>
      <c r="H800" s="43" cm="1">
        <f t="array" ref="H800">SUMPRODUCT(Tracking[Amount],--(Tracking[Date]&lt;=Tracking[[#This Row],[Date]]),(Tracking[Type]&lt;&gt;"Income")*(-1)+(Tracking[Type]="Income"))</f>
        <v>-2983.0699999999974</v>
      </c>
      <c r="I800" s="51">
        <f>IF(AND(Tracking[[#This Row],[Type]]="Income",shift_late_income_status="Active",DAY(Tracking[[#This Row],[Date]])&gt;=shift_late_income_starting_day),DATE(YEAR(Tracking[[#This Row],[Date]]),MONTH(Tracking[[#This Row],[Date]])+1,1),Tracking[[#This Row],[Date]])</f>
        <v>46176</v>
      </c>
    </row>
    <row r="801" spans="3:9" x14ac:dyDescent="0.3">
      <c r="C801" s="41">
        <v>46176</v>
      </c>
      <c r="D801" s="39" t="s">
        <v>9</v>
      </c>
      <c r="E801" s="39" t="s">
        <v>10</v>
      </c>
      <c r="F801" s="139">
        <v>9.52</v>
      </c>
      <c r="G801" s="40" t="s">
        <v>379</v>
      </c>
      <c r="H801" s="43" cm="1">
        <f t="array" ref="H801">SUMPRODUCT(Tracking[Amount],--(Tracking[Date]&lt;=Tracking[[#This Row],[Date]]),(Tracking[Type]&lt;&gt;"Income")*(-1)+(Tracking[Type]="Income"))</f>
        <v>-2983.0699999999974</v>
      </c>
      <c r="I801" s="51">
        <f>IF(AND(Tracking[[#This Row],[Type]]="Income",shift_late_income_status="Active",DAY(Tracking[[#This Row],[Date]])&gt;=shift_late_income_starting_day),DATE(YEAR(Tracking[[#This Row],[Date]]),MONTH(Tracking[[#This Row],[Date]])+1,1),Tracking[[#This Row],[Date]])</f>
        <v>46176</v>
      </c>
    </row>
    <row r="802" spans="3:9" x14ac:dyDescent="0.3">
      <c r="C802" s="41">
        <v>46176</v>
      </c>
      <c r="D802" s="39" t="s">
        <v>9</v>
      </c>
      <c r="E802" s="39" t="s">
        <v>12</v>
      </c>
      <c r="F802" s="139">
        <v>5.33</v>
      </c>
      <c r="G802" s="40" t="s">
        <v>390</v>
      </c>
      <c r="H802" s="43" cm="1">
        <f t="array" ref="H802">SUMPRODUCT(Tracking[Amount],--(Tracking[Date]&lt;=Tracking[[#This Row],[Date]]),(Tracking[Type]&lt;&gt;"Income")*(-1)+(Tracking[Type]="Income"))</f>
        <v>-2983.0699999999974</v>
      </c>
      <c r="I802" s="51">
        <f>IF(AND(Tracking[[#This Row],[Type]]="Income",shift_late_income_status="Active",DAY(Tracking[[#This Row],[Date]])&gt;=shift_late_income_starting_day),DATE(YEAR(Tracking[[#This Row],[Date]]),MONTH(Tracking[[#This Row],[Date]])+1,1),Tracking[[#This Row],[Date]])</f>
        <v>46176</v>
      </c>
    </row>
    <row r="803" spans="3:9" x14ac:dyDescent="0.3">
      <c r="C803" s="41">
        <v>46175</v>
      </c>
      <c r="D803" s="39" t="s">
        <v>9</v>
      </c>
      <c r="E803" s="39" t="s">
        <v>318</v>
      </c>
      <c r="F803" s="139">
        <v>25.98</v>
      </c>
      <c r="G803" s="40" t="s">
        <v>391</v>
      </c>
      <c r="H803" s="43" cm="1">
        <f t="array" ref="H803">SUMPRODUCT(Tracking[Amount],--(Tracking[Date]&lt;=Tracking[[#This Row],[Date]]),(Tracking[Type]&lt;&gt;"Income")*(-1)+(Tracking[Type]="Income"))</f>
        <v>-2907.7899999999977</v>
      </c>
      <c r="I803" s="51">
        <f>IF(AND(Tracking[[#This Row],[Type]]="Income",shift_late_income_status="Active",DAY(Tracking[[#This Row],[Date]])&gt;=shift_late_income_starting_day),DATE(YEAR(Tracking[[#This Row],[Date]]),MONTH(Tracking[[#This Row],[Date]])+1,1),Tracking[[#This Row],[Date]])</f>
        <v>46175</v>
      </c>
    </row>
    <row r="804" spans="3:9" x14ac:dyDescent="0.3">
      <c r="C804" s="41">
        <v>46174</v>
      </c>
      <c r="D804" s="39" t="s">
        <v>9</v>
      </c>
      <c r="E804" s="39" t="s">
        <v>318</v>
      </c>
      <c r="F804" s="139">
        <v>52</v>
      </c>
      <c r="G804" s="40" t="s">
        <v>392</v>
      </c>
      <c r="H804" s="43" cm="1">
        <f t="array" ref="H804">SUMPRODUCT(Tracking[Amount],--(Tracking[Date]&lt;=Tracking[[#This Row],[Date]]),(Tracking[Type]&lt;&gt;"Income")*(-1)+(Tracking[Type]="Income"))</f>
        <v>-2881.8099999999977</v>
      </c>
      <c r="I804" s="51">
        <f>IF(AND(Tracking[[#This Row],[Type]]="Income",shift_late_income_status="Active",DAY(Tracking[[#This Row],[Date]])&gt;=shift_late_income_starting_day),DATE(YEAR(Tracking[[#This Row],[Date]]),MONTH(Tracking[[#This Row],[Date]])+1,1),Tracking[[#This Row],[Date]])</f>
        <v>46174</v>
      </c>
    </row>
    <row r="805" spans="3:9" x14ac:dyDescent="0.3">
      <c r="C805" s="41">
        <v>46174</v>
      </c>
      <c r="D805" s="39" t="s">
        <v>9</v>
      </c>
      <c r="E805" s="39" t="s">
        <v>10</v>
      </c>
      <c r="F805" s="139">
        <v>29.62</v>
      </c>
      <c r="G805" s="40" t="s">
        <v>393</v>
      </c>
      <c r="H805" s="43" cm="1">
        <f t="array" ref="H805">SUMPRODUCT(Tracking[Amount],--(Tracking[Date]&lt;=Tracking[[#This Row],[Date]]),(Tracking[Type]&lt;&gt;"Income")*(-1)+(Tracking[Type]="Income"))</f>
        <v>-2881.8099999999977</v>
      </c>
      <c r="I805" s="51">
        <f>IF(AND(Tracking[[#This Row],[Type]]="Income",shift_late_income_status="Active",DAY(Tracking[[#This Row],[Date]])&gt;=shift_late_income_starting_day),DATE(YEAR(Tracking[[#This Row],[Date]]),MONTH(Tracking[[#This Row],[Date]])+1,1),Tracking[[#This Row],[Date]])</f>
        <v>46174</v>
      </c>
    </row>
    <row r="806" spans="3:9" x14ac:dyDescent="0.3">
      <c r="C806" s="41">
        <v>46174</v>
      </c>
      <c r="D806" s="39" t="s">
        <v>9</v>
      </c>
      <c r="E806" s="39" t="s">
        <v>10</v>
      </c>
      <c r="F806" s="139">
        <v>19.97</v>
      </c>
      <c r="G806" s="40" t="s">
        <v>177</v>
      </c>
      <c r="H806" s="43" cm="1">
        <f t="array" ref="H806">SUMPRODUCT(Tracking[Amount],--(Tracking[Date]&lt;=Tracking[[#This Row],[Date]]),(Tracking[Type]&lt;&gt;"Income")*(-1)+(Tracking[Type]="Income"))</f>
        <v>-2881.8099999999977</v>
      </c>
      <c r="I806" s="51">
        <f>IF(AND(Tracking[[#This Row],[Type]]="Income",shift_late_income_status="Active",DAY(Tracking[[#This Row],[Date]])&gt;=shift_late_income_starting_day),DATE(YEAR(Tracking[[#This Row],[Date]]),MONTH(Tracking[[#This Row],[Date]])+1,1),Tracking[[#This Row],[Date]])</f>
        <v>46174</v>
      </c>
    </row>
    <row r="807" spans="3:9" x14ac:dyDescent="0.3">
      <c r="C807" s="41">
        <v>46174</v>
      </c>
      <c r="D807" s="39" t="s">
        <v>9</v>
      </c>
      <c r="E807" s="39" t="s">
        <v>10</v>
      </c>
      <c r="F807" s="139">
        <v>17.75</v>
      </c>
      <c r="G807" s="40" t="s">
        <v>304</v>
      </c>
      <c r="H807" s="43" cm="1">
        <f t="array" ref="H807">SUMPRODUCT(Tracking[Amount],--(Tracking[Date]&lt;=Tracking[[#This Row],[Date]]),(Tracking[Type]&lt;&gt;"Income")*(-1)+(Tracking[Type]="Income"))</f>
        <v>-2881.8099999999977</v>
      </c>
      <c r="I807" s="51">
        <f>IF(AND(Tracking[[#This Row],[Type]]="Income",shift_late_income_status="Active",DAY(Tracking[[#This Row],[Date]])&gt;=shift_late_income_starting_day),DATE(YEAR(Tracking[[#This Row],[Date]]),MONTH(Tracking[[#This Row],[Date]])+1,1),Tracking[[#This Row],[Date]])</f>
        <v>46174</v>
      </c>
    </row>
    <row r="808" spans="3:9" x14ac:dyDescent="0.3">
      <c r="C808" s="41">
        <v>46174</v>
      </c>
      <c r="D808" s="39" t="s">
        <v>9</v>
      </c>
      <c r="E808" s="39" t="s">
        <v>10</v>
      </c>
      <c r="F808" s="139">
        <v>13.3</v>
      </c>
      <c r="G808" s="40" t="s">
        <v>173</v>
      </c>
      <c r="H808" s="43" cm="1">
        <f t="array" ref="H808">SUMPRODUCT(Tracking[Amount],--(Tracking[Date]&lt;=Tracking[[#This Row],[Date]]),(Tracking[Type]&lt;&gt;"Income")*(-1)+(Tracking[Type]="Income"))</f>
        <v>-2881.8099999999977</v>
      </c>
      <c r="I808" s="51">
        <f>IF(AND(Tracking[[#This Row],[Type]]="Income",shift_late_income_status="Active",DAY(Tracking[[#This Row],[Date]])&gt;=shift_late_income_starting_day),DATE(YEAR(Tracking[[#This Row],[Date]]),MONTH(Tracking[[#This Row],[Date]])+1,1),Tracking[[#This Row],[Date]])</f>
        <v>46174</v>
      </c>
    </row>
    <row r="809" spans="3:9" x14ac:dyDescent="0.3">
      <c r="C809" s="41">
        <v>46174</v>
      </c>
      <c r="D809" s="39" t="s">
        <v>9</v>
      </c>
      <c r="E809" s="39" t="s">
        <v>12</v>
      </c>
      <c r="F809" s="139">
        <v>13.19</v>
      </c>
      <c r="G809" s="40" t="s">
        <v>394</v>
      </c>
      <c r="H809" s="43" cm="1">
        <f t="array" ref="H809">SUMPRODUCT(Tracking[Amount],--(Tracking[Date]&lt;=Tracking[[#This Row],[Date]]),(Tracking[Type]&lt;&gt;"Income")*(-1)+(Tracking[Type]="Income"))</f>
        <v>-2881.8099999999977</v>
      </c>
      <c r="I809" s="51">
        <f>IF(AND(Tracking[[#This Row],[Type]]="Income",shift_late_income_status="Active",DAY(Tracking[[#This Row],[Date]])&gt;=shift_late_income_starting_day),DATE(YEAR(Tracking[[#This Row],[Date]]),MONTH(Tracking[[#This Row],[Date]])+1,1),Tracking[[#This Row],[Date]])</f>
        <v>46174</v>
      </c>
    </row>
    <row r="810" spans="3:9" x14ac:dyDescent="0.3">
      <c r="C810" s="41">
        <v>46174</v>
      </c>
      <c r="D810" s="39" t="s">
        <v>9</v>
      </c>
      <c r="E810" s="39" t="s">
        <v>10</v>
      </c>
      <c r="F810" s="139">
        <v>11.04</v>
      </c>
      <c r="G810" s="40" t="s">
        <v>395</v>
      </c>
      <c r="H810" s="43" cm="1">
        <f t="array" ref="H810">SUMPRODUCT(Tracking[Amount],--(Tracking[Date]&lt;=Tracking[[#This Row],[Date]]),(Tracking[Type]&lt;&gt;"Income")*(-1)+(Tracking[Type]="Income"))</f>
        <v>-2881.8099999999977</v>
      </c>
      <c r="I810" s="51">
        <f>IF(AND(Tracking[[#This Row],[Type]]="Income",shift_late_income_status="Active",DAY(Tracking[[#This Row],[Date]])&gt;=shift_late_income_starting_day),DATE(YEAR(Tracking[[#This Row],[Date]]),MONTH(Tracking[[#This Row],[Date]])+1,1),Tracking[[#This Row],[Date]])</f>
        <v>46174</v>
      </c>
    </row>
    <row r="811" spans="3:9" x14ac:dyDescent="0.3">
      <c r="C811" s="41">
        <v>46174</v>
      </c>
      <c r="D811" s="39" t="s">
        <v>9</v>
      </c>
      <c r="E811" s="39" t="s">
        <v>10</v>
      </c>
      <c r="F811" s="139">
        <v>11.01</v>
      </c>
      <c r="G811" s="40" t="s">
        <v>388</v>
      </c>
      <c r="H811" s="43" cm="1">
        <f t="array" ref="H811">SUMPRODUCT(Tracking[Amount],--(Tracking[Date]&lt;=Tracking[[#This Row],[Date]]),(Tracking[Type]&lt;&gt;"Income")*(-1)+(Tracking[Type]="Income"))</f>
        <v>-2881.8099999999977</v>
      </c>
      <c r="I811" s="51">
        <f>IF(AND(Tracking[[#This Row],[Type]]="Income",shift_late_income_status="Active",DAY(Tracking[[#This Row],[Date]])&gt;=shift_late_income_starting_day),DATE(YEAR(Tracking[[#This Row],[Date]]),MONTH(Tracking[[#This Row],[Date]])+1,1),Tracking[[#This Row],[Date]])</f>
        <v>46174</v>
      </c>
    </row>
    <row r="812" spans="3:9" x14ac:dyDescent="0.3">
      <c r="C812" s="41">
        <v>46174</v>
      </c>
      <c r="D812" s="39" t="s">
        <v>9</v>
      </c>
      <c r="E812" s="39" t="s">
        <v>10</v>
      </c>
      <c r="F812" s="139">
        <v>6.71</v>
      </c>
      <c r="G812" s="40" t="s">
        <v>396</v>
      </c>
      <c r="H812" s="43" cm="1">
        <f t="array" ref="H812">SUMPRODUCT(Tracking[Amount],--(Tracking[Date]&lt;=Tracking[[#This Row],[Date]]),(Tracking[Type]&lt;&gt;"Income")*(-1)+(Tracking[Type]="Income"))</f>
        <v>-2881.8099999999977</v>
      </c>
      <c r="I812" s="51">
        <f>IF(AND(Tracking[[#This Row],[Type]]="Income",shift_late_income_status="Active",DAY(Tracking[[#This Row],[Date]])&gt;=shift_late_income_starting_day),DATE(YEAR(Tracking[[#This Row],[Date]]),MONTH(Tracking[[#This Row],[Date]])+1,1),Tracking[[#This Row],[Date]])</f>
        <v>46174</v>
      </c>
    </row>
    <row r="813" spans="3:9" x14ac:dyDescent="0.3">
      <c r="C813" s="41">
        <v>46174</v>
      </c>
      <c r="D813" s="39" t="s">
        <v>9</v>
      </c>
      <c r="E813" s="39" t="s">
        <v>10</v>
      </c>
      <c r="F813" s="139">
        <v>6.71</v>
      </c>
      <c r="G813" s="40" t="s">
        <v>397</v>
      </c>
      <c r="H813" s="43" cm="1">
        <f t="array" ref="H813">SUMPRODUCT(Tracking[Amount],--(Tracking[Date]&lt;=Tracking[[#This Row],[Date]]),(Tracking[Type]&lt;&gt;"Income")*(-1)+(Tracking[Type]="Income"))</f>
        <v>-2881.8099999999977</v>
      </c>
      <c r="I813" s="51">
        <f>IF(AND(Tracking[[#This Row],[Type]]="Income",shift_late_income_status="Active",DAY(Tracking[[#This Row],[Date]])&gt;=shift_late_income_starting_day),DATE(YEAR(Tracking[[#This Row],[Date]]),MONTH(Tracking[[#This Row],[Date]])+1,1),Tracking[[#This Row],[Date]])</f>
        <v>46174</v>
      </c>
    </row>
    <row r="814" spans="3:9" x14ac:dyDescent="0.3">
      <c r="C814" s="41">
        <v>46174</v>
      </c>
      <c r="D814" s="39" t="s">
        <v>9</v>
      </c>
      <c r="E814" s="39" t="s">
        <v>10</v>
      </c>
      <c r="F814" s="139">
        <v>6.47</v>
      </c>
      <c r="G814" s="40" t="s">
        <v>272</v>
      </c>
      <c r="H814" s="43" cm="1">
        <f t="array" ref="H814">SUMPRODUCT(Tracking[Amount],--(Tracking[Date]&lt;=Tracking[[#This Row],[Date]]),(Tracking[Type]&lt;&gt;"Income")*(-1)+(Tracking[Type]="Income"))</f>
        <v>-2881.8099999999977</v>
      </c>
      <c r="I814" s="51">
        <f>IF(AND(Tracking[[#This Row],[Type]]="Income",shift_late_income_status="Active",DAY(Tracking[[#This Row],[Date]])&gt;=shift_late_income_starting_day),DATE(YEAR(Tracking[[#This Row],[Date]]),MONTH(Tracking[[#This Row],[Date]])+1,1),Tracking[[#This Row],[Date]])</f>
        <v>46174</v>
      </c>
    </row>
    <row r="815" spans="3:9" x14ac:dyDescent="0.3">
      <c r="C815" s="41">
        <v>46174</v>
      </c>
      <c r="D815" s="39" t="s">
        <v>9</v>
      </c>
      <c r="E815" s="39" t="s">
        <v>10</v>
      </c>
      <c r="F815" s="139">
        <v>4.47</v>
      </c>
      <c r="G815" s="40" t="s">
        <v>396</v>
      </c>
      <c r="H815" s="43" cm="1">
        <f t="array" ref="H815">SUMPRODUCT(Tracking[Amount],--(Tracking[Date]&lt;=Tracking[[#This Row],[Date]]),(Tracking[Type]&lt;&gt;"Income")*(-1)+(Tracking[Type]="Income"))</f>
        <v>-2881.8099999999977</v>
      </c>
      <c r="I815" s="51">
        <f>IF(AND(Tracking[[#This Row],[Type]]="Income",shift_late_income_status="Active",DAY(Tracking[[#This Row],[Date]])&gt;=shift_late_income_starting_day),DATE(YEAR(Tracking[[#This Row],[Date]]),MONTH(Tracking[[#This Row],[Date]])+1,1),Tracking[[#This Row],[Date]])</f>
        <v>46174</v>
      </c>
    </row>
    <row r="816" spans="3:9" x14ac:dyDescent="0.3">
      <c r="C816" s="41">
        <v>46171</v>
      </c>
      <c r="D816" s="39" t="s">
        <v>9</v>
      </c>
      <c r="E816" s="39" t="s">
        <v>318</v>
      </c>
      <c r="F816" s="139">
        <v>30.97</v>
      </c>
      <c r="G816" s="40" t="s">
        <v>398</v>
      </c>
      <c r="H816" s="43" cm="1">
        <f t="array" ref="H816">SUMPRODUCT(Tracking[Amount],--(Tracking[Date]&lt;=Tracking[[#This Row],[Date]]),(Tracking[Type]&lt;&gt;"Income")*(-1)+(Tracking[Type]="Income"))</f>
        <v>-2570.5699999999979</v>
      </c>
      <c r="I816" s="51">
        <f>IF(AND(Tracking[[#This Row],[Type]]="Income",shift_late_income_status="Active",DAY(Tracking[[#This Row],[Date]])&gt;=shift_late_income_starting_day),DATE(YEAR(Tracking[[#This Row],[Date]]),MONTH(Tracking[[#This Row],[Date]])+1,1),Tracking[[#This Row],[Date]])</f>
        <v>46171</v>
      </c>
    </row>
    <row r="817" spans="3:9" x14ac:dyDescent="0.3">
      <c r="C817" s="41">
        <v>46171</v>
      </c>
      <c r="D817" s="39" t="s">
        <v>9</v>
      </c>
      <c r="E817" s="39" t="s">
        <v>11</v>
      </c>
      <c r="F817" s="139">
        <v>25.63</v>
      </c>
      <c r="G817" s="40" t="s">
        <v>399</v>
      </c>
      <c r="H817" s="43" cm="1">
        <f t="array" ref="H817">SUMPRODUCT(Tracking[Amount],--(Tracking[Date]&lt;=Tracking[[#This Row],[Date]]),(Tracking[Type]&lt;&gt;"Income")*(-1)+(Tracking[Type]="Income"))</f>
        <v>-2570.5699999999979</v>
      </c>
      <c r="I817" s="51">
        <f>IF(AND(Tracking[[#This Row],[Type]]="Income",shift_late_income_status="Active",DAY(Tracking[[#This Row],[Date]])&gt;=shift_late_income_starting_day),DATE(YEAR(Tracking[[#This Row],[Date]]),MONTH(Tracking[[#This Row],[Date]])+1,1),Tracking[[#This Row],[Date]])</f>
        <v>46171</v>
      </c>
    </row>
    <row r="818" spans="3:9" x14ac:dyDescent="0.3">
      <c r="C818" s="41">
        <v>46171</v>
      </c>
      <c r="D818" s="39" t="s">
        <v>9</v>
      </c>
      <c r="E818" s="39" t="s">
        <v>10</v>
      </c>
      <c r="F818" s="139">
        <v>26.95</v>
      </c>
      <c r="G818" s="40" t="s">
        <v>177</v>
      </c>
      <c r="H818" s="43" cm="1">
        <f t="array" ref="H818">SUMPRODUCT(Tracking[Amount],--(Tracking[Date]&lt;=Tracking[[#This Row],[Date]]),(Tracking[Type]&lt;&gt;"Income")*(-1)+(Tracking[Type]="Income"))</f>
        <v>-2570.5699999999979</v>
      </c>
      <c r="I818" s="51">
        <f>IF(AND(Tracking[[#This Row],[Type]]="Income",shift_late_income_status="Active",DAY(Tracking[[#This Row],[Date]])&gt;=shift_late_income_starting_day),DATE(YEAR(Tracking[[#This Row],[Date]]),MONTH(Tracking[[#This Row],[Date]])+1,1),Tracking[[#This Row],[Date]])</f>
        <v>46171</v>
      </c>
    </row>
    <row r="819" spans="3:9" x14ac:dyDescent="0.3">
      <c r="C819" s="41">
        <v>46181</v>
      </c>
      <c r="D819" s="39" t="s">
        <v>9</v>
      </c>
      <c r="E819" s="39" t="s">
        <v>318</v>
      </c>
      <c r="F819" s="139">
        <v>185.26</v>
      </c>
      <c r="G819" s="40" t="s">
        <v>400</v>
      </c>
      <c r="H819" s="43" cm="1">
        <f t="array" ref="H819">SUMPRODUCT(Tracking[Amount],--(Tracking[Date]&lt;=Tracking[[#This Row],[Date]]),(Tracking[Type]&lt;&gt;"Income")*(-1)+(Tracking[Type]="Income"))</f>
        <v>-3448.2699999999977</v>
      </c>
      <c r="I819" s="51">
        <f>IF(AND(Tracking[[#This Row],[Type]]="Income",shift_late_income_status="Active",DAY(Tracking[[#This Row],[Date]])&gt;=shift_late_income_starting_day),DATE(YEAR(Tracking[[#This Row],[Date]]),MONTH(Tracking[[#This Row],[Date]])+1,1),Tracking[[#This Row],[Date]])</f>
        <v>46181</v>
      </c>
    </row>
    <row r="820" spans="3:9" x14ac:dyDescent="0.3">
      <c r="C820" s="41">
        <v>46181</v>
      </c>
      <c r="D820" s="39" t="s">
        <v>9</v>
      </c>
      <c r="E820" s="39" t="s">
        <v>10</v>
      </c>
      <c r="F820" s="139">
        <v>31.35</v>
      </c>
      <c r="G820" s="40" t="s">
        <v>401</v>
      </c>
      <c r="H820" s="43" cm="1">
        <f t="array" ref="H820">SUMPRODUCT(Tracking[Amount],--(Tracking[Date]&lt;=Tracking[[#This Row],[Date]]),(Tracking[Type]&lt;&gt;"Income")*(-1)+(Tracking[Type]="Income"))</f>
        <v>-3448.2699999999977</v>
      </c>
      <c r="I820" s="51">
        <f>IF(AND(Tracking[[#This Row],[Type]]="Income",shift_late_income_status="Active",DAY(Tracking[[#This Row],[Date]])&gt;=shift_late_income_starting_day),DATE(YEAR(Tracking[[#This Row],[Date]]),MONTH(Tracking[[#This Row],[Date]])+1,1),Tracking[[#This Row],[Date]])</f>
        <v>46181</v>
      </c>
    </row>
    <row r="821" spans="3:9" x14ac:dyDescent="0.3">
      <c r="C821" s="41">
        <v>46181</v>
      </c>
      <c r="D821" s="39" t="s">
        <v>9</v>
      </c>
      <c r="E821" s="39" t="s">
        <v>10</v>
      </c>
      <c r="F821" s="139">
        <v>28.04</v>
      </c>
      <c r="G821" s="40" t="s">
        <v>177</v>
      </c>
      <c r="H821" s="43" cm="1">
        <f t="array" ref="H821">SUMPRODUCT(Tracking[Amount],--(Tracking[Date]&lt;=Tracking[[#This Row],[Date]]),(Tracking[Type]&lt;&gt;"Income")*(-1)+(Tracking[Type]="Income"))</f>
        <v>-3448.2699999999977</v>
      </c>
      <c r="I821" s="51">
        <f>IF(AND(Tracking[[#This Row],[Type]]="Income",shift_late_income_status="Active",DAY(Tracking[[#This Row],[Date]])&gt;=shift_late_income_starting_day),DATE(YEAR(Tracking[[#This Row],[Date]]),MONTH(Tracking[[#This Row],[Date]])+1,1),Tracking[[#This Row],[Date]])</f>
        <v>46181</v>
      </c>
    </row>
    <row r="822" spans="3:9" x14ac:dyDescent="0.3">
      <c r="C822" s="41">
        <v>46181</v>
      </c>
      <c r="D822" s="39" t="s">
        <v>9</v>
      </c>
      <c r="E822" s="39" t="s">
        <v>12</v>
      </c>
      <c r="F822" s="139">
        <v>24.89</v>
      </c>
      <c r="G822" s="40" t="s">
        <v>238</v>
      </c>
      <c r="H822" s="43" cm="1">
        <f t="array" ref="H822">SUMPRODUCT(Tracking[Amount],--(Tracking[Date]&lt;=Tracking[[#This Row],[Date]]),(Tracking[Type]&lt;&gt;"Income")*(-1)+(Tracking[Type]="Income"))</f>
        <v>-3448.2699999999977</v>
      </c>
      <c r="I822" s="51">
        <f>IF(AND(Tracking[[#This Row],[Type]]="Income",shift_late_income_status="Active",DAY(Tracking[[#This Row],[Date]])&gt;=shift_late_income_starting_day),DATE(YEAR(Tracking[[#This Row],[Date]]),MONTH(Tracking[[#This Row],[Date]])+1,1),Tracking[[#This Row],[Date]])</f>
        <v>46181</v>
      </c>
    </row>
    <row r="823" spans="3:9" x14ac:dyDescent="0.3">
      <c r="C823" s="41">
        <v>46181</v>
      </c>
      <c r="D823" s="39" t="s">
        <v>9</v>
      </c>
      <c r="E823" s="39" t="s">
        <v>10</v>
      </c>
      <c r="F823" s="139">
        <v>23.92</v>
      </c>
      <c r="G823" s="40" t="s">
        <v>304</v>
      </c>
      <c r="H823" s="43" cm="1">
        <f t="array" ref="H823">SUMPRODUCT(Tracking[Amount],--(Tracking[Date]&lt;=Tracking[[#This Row],[Date]]),(Tracking[Type]&lt;&gt;"Income")*(-1)+(Tracking[Type]="Income"))</f>
        <v>-3448.2699999999977</v>
      </c>
      <c r="I823" s="51">
        <f>IF(AND(Tracking[[#This Row],[Type]]="Income",shift_late_income_status="Active",DAY(Tracking[[#This Row],[Date]])&gt;=shift_late_income_starting_day),DATE(YEAR(Tracking[[#This Row],[Date]]),MONTH(Tracking[[#This Row],[Date]])+1,1),Tracking[[#This Row],[Date]])</f>
        <v>46181</v>
      </c>
    </row>
    <row r="824" spans="3:9" x14ac:dyDescent="0.3">
      <c r="C824" s="41">
        <v>46181</v>
      </c>
      <c r="D824" s="39" t="s">
        <v>9</v>
      </c>
      <c r="E824" s="39" t="s">
        <v>10</v>
      </c>
      <c r="F824" s="139">
        <v>10.77</v>
      </c>
      <c r="G824" s="40" t="s">
        <v>385</v>
      </c>
      <c r="H824" s="43" cm="1">
        <f t="array" ref="H824">SUMPRODUCT(Tracking[Amount],--(Tracking[Date]&lt;=Tracking[[#This Row],[Date]]),(Tracking[Type]&lt;&gt;"Income")*(-1)+(Tracking[Type]="Income"))</f>
        <v>-3448.2699999999977</v>
      </c>
      <c r="I824" s="51">
        <f>IF(AND(Tracking[[#This Row],[Type]]="Income",shift_late_income_status="Active",DAY(Tracking[[#This Row],[Date]])&gt;=shift_late_income_starting_day),DATE(YEAR(Tracking[[#This Row],[Date]]),MONTH(Tracking[[#This Row],[Date]])+1,1),Tracking[[#This Row],[Date]])</f>
        <v>46181</v>
      </c>
    </row>
    <row r="825" spans="3:9" x14ac:dyDescent="0.3">
      <c r="C825" s="41">
        <v>46181</v>
      </c>
      <c r="D825" s="39" t="s">
        <v>9</v>
      </c>
      <c r="E825" s="39" t="s">
        <v>10</v>
      </c>
      <c r="F825" s="139">
        <v>9.7100000000000009</v>
      </c>
      <c r="G825" s="40" t="s">
        <v>272</v>
      </c>
      <c r="H825" s="43" cm="1">
        <f t="array" ref="H825">SUMPRODUCT(Tracking[Amount],--(Tracking[Date]&lt;=Tracking[[#This Row],[Date]]),(Tracking[Type]&lt;&gt;"Income")*(-1)+(Tracking[Type]="Income"))</f>
        <v>-3448.2699999999977</v>
      </c>
      <c r="I825" s="51">
        <f>IF(AND(Tracking[[#This Row],[Type]]="Income",shift_late_income_status="Active",DAY(Tracking[[#This Row],[Date]])&gt;=shift_late_income_starting_day),DATE(YEAR(Tracking[[#This Row],[Date]]),MONTH(Tracking[[#This Row],[Date]])+1,1),Tracking[[#This Row],[Date]])</f>
        <v>46181</v>
      </c>
    </row>
    <row r="826" spans="3:9" x14ac:dyDescent="0.3">
      <c r="C826" s="41">
        <v>46181</v>
      </c>
      <c r="D826" s="39" t="s">
        <v>9</v>
      </c>
      <c r="E826" s="39" t="s">
        <v>10</v>
      </c>
      <c r="F826" s="139">
        <v>9.31</v>
      </c>
      <c r="G826" s="40" t="s">
        <v>379</v>
      </c>
      <c r="H826" s="43" cm="1">
        <f t="array" ref="H826">SUMPRODUCT(Tracking[Amount],--(Tracking[Date]&lt;=Tracking[[#This Row],[Date]]),(Tracking[Type]&lt;&gt;"Income")*(-1)+(Tracking[Type]="Income"))</f>
        <v>-3448.2699999999977</v>
      </c>
      <c r="I826" s="51">
        <f>IF(AND(Tracking[[#This Row],[Type]]="Income",shift_late_income_status="Active",DAY(Tracking[[#This Row],[Date]])&gt;=shift_late_income_starting_day),DATE(YEAR(Tracking[[#This Row],[Date]]),MONTH(Tracking[[#This Row],[Date]])+1,1),Tracking[[#This Row],[Date]])</f>
        <v>46181</v>
      </c>
    </row>
    <row r="827" spans="3:9" x14ac:dyDescent="0.3">
      <c r="C827" s="41">
        <v>46181</v>
      </c>
      <c r="D827" s="39" t="s">
        <v>9</v>
      </c>
      <c r="E827" s="39" t="s">
        <v>10</v>
      </c>
      <c r="F827" s="139">
        <v>7.87</v>
      </c>
      <c r="G827" s="40" t="s">
        <v>402</v>
      </c>
      <c r="H827" s="43" cm="1">
        <f t="array" ref="H827">SUMPRODUCT(Tracking[Amount],--(Tracking[Date]&lt;=Tracking[[#This Row],[Date]]),(Tracking[Type]&lt;&gt;"Income")*(-1)+(Tracking[Type]="Income"))</f>
        <v>-3448.2699999999977</v>
      </c>
      <c r="I827" s="51">
        <f>IF(AND(Tracking[[#This Row],[Type]]="Income",shift_late_income_status="Active",DAY(Tracking[[#This Row],[Date]])&gt;=shift_late_income_starting_day),DATE(YEAR(Tracking[[#This Row],[Date]]),MONTH(Tracking[[#This Row],[Date]])+1,1),Tracking[[#This Row],[Date]])</f>
        <v>46181</v>
      </c>
    </row>
    <row r="828" spans="3:9" x14ac:dyDescent="0.3">
      <c r="C828" s="41">
        <v>46181</v>
      </c>
      <c r="D828" s="39" t="s">
        <v>9</v>
      </c>
      <c r="E828" s="39" t="s">
        <v>12</v>
      </c>
      <c r="F828" s="139">
        <v>7.57</v>
      </c>
      <c r="G828" s="40" t="s">
        <v>238</v>
      </c>
      <c r="H828" s="43" cm="1">
        <f t="array" ref="H828">SUMPRODUCT(Tracking[Amount],--(Tracking[Date]&lt;=Tracking[[#This Row],[Date]]),(Tracking[Type]&lt;&gt;"Income")*(-1)+(Tracking[Type]="Income"))</f>
        <v>-3448.2699999999977</v>
      </c>
      <c r="I828" s="51">
        <f>IF(AND(Tracking[[#This Row],[Type]]="Income",shift_late_income_status="Active",DAY(Tracking[[#This Row],[Date]])&gt;=shift_late_income_starting_day),DATE(YEAR(Tracking[[#This Row],[Date]]),MONTH(Tracking[[#This Row],[Date]])+1,1),Tracking[[#This Row],[Date]])</f>
        <v>46181</v>
      </c>
    </row>
    <row r="829" spans="3:9" x14ac:dyDescent="0.3">
      <c r="C829" s="41">
        <v>46181</v>
      </c>
      <c r="D829" s="39" t="s">
        <v>9</v>
      </c>
      <c r="E829" s="39" t="s">
        <v>111</v>
      </c>
      <c r="F829" s="139">
        <v>6.71</v>
      </c>
      <c r="G829" s="40" t="s">
        <v>397</v>
      </c>
      <c r="H829" s="43" cm="1">
        <f t="array" ref="H829">SUMPRODUCT(Tracking[Amount],--(Tracking[Date]&lt;=Tracking[[#This Row],[Date]]),(Tracking[Type]&lt;&gt;"Income")*(-1)+(Tracking[Type]="Income"))</f>
        <v>-3448.2699999999977</v>
      </c>
      <c r="I829" s="51">
        <f>IF(AND(Tracking[[#This Row],[Type]]="Income",shift_late_income_status="Active",DAY(Tracking[[#This Row],[Date]])&gt;=shift_late_income_starting_day),DATE(YEAR(Tracking[[#This Row],[Date]]),MONTH(Tracking[[#This Row],[Date]])+1,1),Tracking[[#This Row],[Date]])</f>
        <v>46181</v>
      </c>
    </row>
    <row r="830" spans="3:9" x14ac:dyDescent="0.3">
      <c r="C830" s="41">
        <v>46181</v>
      </c>
      <c r="D830" s="39" t="s">
        <v>9</v>
      </c>
      <c r="E830" s="39" t="s">
        <v>111</v>
      </c>
      <c r="F830" s="139">
        <v>6.71</v>
      </c>
      <c r="G830" s="40" t="s">
        <v>397</v>
      </c>
      <c r="H830" s="43" cm="1">
        <f t="array" ref="H830">SUMPRODUCT(Tracking[Amount],--(Tracking[Date]&lt;=Tracking[[#This Row],[Date]]),(Tracking[Type]&lt;&gt;"Income")*(-1)+(Tracking[Type]="Income"))</f>
        <v>-3448.2699999999977</v>
      </c>
      <c r="I830" s="51">
        <f>IF(AND(Tracking[[#This Row],[Type]]="Income",shift_late_income_status="Active",DAY(Tracking[[#This Row],[Date]])&gt;=shift_late_income_starting_day),DATE(YEAR(Tracking[[#This Row],[Date]]),MONTH(Tracking[[#This Row],[Date]])+1,1),Tracking[[#This Row],[Date]])</f>
        <v>46181</v>
      </c>
    </row>
    <row r="831" spans="3:9" x14ac:dyDescent="0.3">
      <c r="C831" s="41">
        <v>46182</v>
      </c>
      <c r="D831" s="39" t="s">
        <v>9</v>
      </c>
      <c r="E831" s="39" t="s">
        <v>10</v>
      </c>
      <c r="F831" s="139">
        <v>23.41</v>
      </c>
      <c r="G831" s="40" t="s">
        <v>388</v>
      </c>
      <c r="H831" s="43" cm="1">
        <f t="array" ref="H831">SUMPRODUCT(Tracking[Amount],--(Tracking[Date]&lt;=Tracking[[#This Row],[Date]]),(Tracking[Type]&lt;&gt;"Income")*(-1)+(Tracking[Type]="Income"))</f>
        <v>-3480.6499999999974</v>
      </c>
      <c r="I831" s="51">
        <f>IF(AND(Tracking[[#This Row],[Type]]="Income",shift_late_income_status="Active",DAY(Tracking[[#This Row],[Date]])&gt;=shift_late_income_starting_day),DATE(YEAR(Tracking[[#This Row],[Date]]),MONTH(Tracking[[#This Row],[Date]])+1,1),Tracking[[#This Row],[Date]])</f>
        <v>46182</v>
      </c>
    </row>
    <row r="832" spans="3:9" x14ac:dyDescent="0.3">
      <c r="C832" s="41">
        <v>46182</v>
      </c>
      <c r="D832" s="39" t="s">
        <v>9</v>
      </c>
      <c r="E832" s="39" t="s">
        <v>10</v>
      </c>
      <c r="F832" s="139">
        <v>8.9700000000000006</v>
      </c>
      <c r="G832" s="40" t="s">
        <v>255</v>
      </c>
      <c r="H832" s="43" cm="1">
        <f t="array" ref="H832">SUMPRODUCT(Tracking[Amount],--(Tracking[Date]&lt;=Tracking[[#This Row],[Date]]),(Tracking[Type]&lt;&gt;"Income")*(-1)+(Tracking[Type]="Income"))</f>
        <v>-3480.6499999999974</v>
      </c>
      <c r="I832" s="51">
        <f>IF(AND(Tracking[[#This Row],[Type]]="Income",shift_late_income_status="Active",DAY(Tracking[[#This Row],[Date]])&gt;=shift_late_income_starting_day),DATE(YEAR(Tracking[[#This Row],[Date]]),MONTH(Tracking[[#This Row],[Date]])+1,1),Tracking[[#This Row],[Date]])</f>
        <v>46182</v>
      </c>
    </row>
    <row r="833" spans="3:9" x14ac:dyDescent="0.3">
      <c r="C833" s="41">
        <v>46183</v>
      </c>
      <c r="D833" s="39" t="s">
        <v>9</v>
      </c>
      <c r="E833" s="39" t="s">
        <v>10</v>
      </c>
      <c r="F833" s="139">
        <v>47.04</v>
      </c>
      <c r="G833" s="40" t="s">
        <v>403</v>
      </c>
      <c r="H833" s="43" cm="1">
        <f t="array" ref="H833">SUMPRODUCT(Tracking[Amount],--(Tracking[Date]&lt;=Tracking[[#This Row],[Date]]),(Tracking[Type]&lt;&gt;"Income")*(-1)+(Tracking[Type]="Income"))</f>
        <v>-3527.6899999999973</v>
      </c>
      <c r="I833" s="51">
        <f>IF(AND(Tracking[[#This Row],[Type]]="Income",shift_late_income_status="Active",DAY(Tracking[[#This Row],[Date]])&gt;=shift_late_income_starting_day),DATE(YEAR(Tracking[[#This Row],[Date]]),MONTH(Tracking[[#This Row],[Date]])+1,1),Tracking[[#This Row],[Date]])</f>
        <v>46183</v>
      </c>
    </row>
    <row r="834" spans="3:9" x14ac:dyDescent="0.3">
      <c r="C834" s="41">
        <v>46184</v>
      </c>
      <c r="D834" s="39" t="s">
        <v>9</v>
      </c>
      <c r="E834" s="39" t="s">
        <v>10</v>
      </c>
      <c r="F834" s="139">
        <v>9.4</v>
      </c>
      <c r="G834" s="40" t="s">
        <v>379</v>
      </c>
      <c r="H834" s="43" cm="1">
        <f t="array" ref="H834">SUMPRODUCT(Tracking[Amount],--(Tracking[Date]&lt;=Tracking[[#This Row],[Date]]),(Tracking[Type]&lt;&gt;"Income")*(-1)+(Tracking[Type]="Income"))</f>
        <v>-3537.0899999999974</v>
      </c>
      <c r="I834" s="51">
        <f>IF(AND(Tracking[[#This Row],[Type]]="Income",shift_late_income_status="Active",DAY(Tracking[[#This Row],[Date]])&gt;=shift_late_income_starting_day),DATE(YEAR(Tracking[[#This Row],[Date]]),MONTH(Tracking[[#This Row],[Date]])+1,1),Tracking[[#This Row],[Date]])</f>
        <v>46184</v>
      </c>
    </row>
    <row r="835" spans="3:9" x14ac:dyDescent="0.3">
      <c r="C835" s="41">
        <v>46185</v>
      </c>
      <c r="D835" s="39" t="s">
        <v>5</v>
      </c>
      <c r="E835" s="39" t="s">
        <v>103</v>
      </c>
      <c r="F835" s="139">
        <v>1027.56</v>
      </c>
      <c r="G835" s="40"/>
      <c r="H835" s="43" cm="1">
        <f t="array" ref="H835">SUMPRODUCT(Tracking[Amount],--(Tracking[Date]&lt;=Tracking[[#This Row],[Date]]),(Tracking[Type]&lt;&gt;"Income")*(-1)+(Tracking[Type]="Income"))</f>
        <v>-2651.5299999999975</v>
      </c>
      <c r="I835" s="51">
        <f>IF(AND(Tracking[[#This Row],[Type]]="Income",shift_late_income_status="Active",DAY(Tracking[[#This Row],[Date]])&gt;=shift_late_income_starting_day),DATE(YEAR(Tracking[[#This Row],[Date]]),MONTH(Tracking[[#This Row],[Date]])+1,1),Tracking[[#This Row],[Date]])</f>
        <v>46185</v>
      </c>
    </row>
    <row r="836" spans="3:9" x14ac:dyDescent="0.3">
      <c r="C836" s="41">
        <v>46178</v>
      </c>
      <c r="D836" s="39" t="s">
        <v>9</v>
      </c>
      <c r="E836" s="39" t="s">
        <v>10</v>
      </c>
      <c r="F836" s="139">
        <v>47.04</v>
      </c>
      <c r="G836" s="40" t="s">
        <v>403</v>
      </c>
      <c r="H836" s="43" cm="1">
        <f t="array" ref="H836">SUMPRODUCT(Tracking[Amount],--(Tracking[Date]&lt;=Tracking[[#This Row],[Date]]),(Tracking[Type]&lt;&gt;"Income")*(-1)+(Tracking[Type]="Income"))</f>
        <v>-3096.159999999998</v>
      </c>
      <c r="I836" s="51">
        <f>IF(AND(Tracking[[#This Row],[Type]]="Income",shift_late_income_status="Active",DAY(Tracking[[#This Row],[Date]])&gt;=shift_late_income_starting_day),DATE(YEAR(Tracking[[#This Row],[Date]]),MONTH(Tracking[[#This Row],[Date]])+1,1),Tracking[[#This Row],[Date]])</f>
        <v>46178</v>
      </c>
    </row>
    <row r="837" spans="3:9" x14ac:dyDescent="0.3">
      <c r="C837" s="41">
        <v>46178</v>
      </c>
      <c r="D837" s="39" t="s">
        <v>9</v>
      </c>
      <c r="E837" s="39" t="s">
        <v>10</v>
      </c>
      <c r="F837" s="139">
        <v>11.01</v>
      </c>
      <c r="G837" s="40" t="s">
        <v>388</v>
      </c>
      <c r="H837" s="43" cm="1">
        <f t="array" ref="H837">SUMPRODUCT(Tracking[Amount],--(Tracking[Date]&lt;=Tracking[[#This Row],[Date]]),(Tracking[Type]&lt;&gt;"Income")*(-1)+(Tracking[Type]="Income"))</f>
        <v>-3096.159999999998</v>
      </c>
      <c r="I837" s="51">
        <f>IF(AND(Tracking[[#This Row],[Type]]="Income",shift_late_income_status="Active",DAY(Tracking[[#This Row],[Date]])&gt;=shift_late_income_starting_day),DATE(YEAR(Tracking[[#This Row],[Date]]),MONTH(Tracking[[#This Row],[Date]])+1,1),Tracking[[#This Row],[Date]])</f>
        <v>46178</v>
      </c>
    </row>
    <row r="838" spans="3:9" x14ac:dyDescent="0.3">
      <c r="C838" s="41">
        <v>46177</v>
      </c>
      <c r="D838" s="39" t="s">
        <v>9</v>
      </c>
      <c r="E838" s="39" t="s">
        <v>10</v>
      </c>
      <c r="F838" s="139">
        <v>33.61</v>
      </c>
      <c r="G838" s="40" t="s">
        <v>370</v>
      </c>
      <c r="H838" s="43" cm="1">
        <f t="array" ref="H838">SUMPRODUCT(Tracking[Amount],--(Tracking[Date]&lt;=Tracking[[#This Row],[Date]]),(Tracking[Type]&lt;&gt;"Income")*(-1)+(Tracking[Type]="Income"))</f>
        <v>-3038.1099999999979</v>
      </c>
      <c r="I838" s="51">
        <f>IF(AND(Tracking[[#This Row],[Type]]="Income",shift_late_income_status="Active",DAY(Tracking[[#This Row],[Date]])&gt;=shift_late_income_starting_day),DATE(YEAR(Tracking[[#This Row],[Date]]),MONTH(Tracking[[#This Row],[Date]])+1,1),Tracking[[#This Row],[Date]])</f>
        <v>46177</v>
      </c>
    </row>
    <row r="839" spans="3:9" x14ac:dyDescent="0.3">
      <c r="C839" s="41">
        <v>46177</v>
      </c>
      <c r="D839" s="39" t="s">
        <v>9</v>
      </c>
      <c r="E839" s="39" t="s">
        <v>10</v>
      </c>
      <c r="F839" s="139">
        <v>13.53</v>
      </c>
      <c r="G839" s="40" t="s">
        <v>177</v>
      </c>
      <c r="H839" s="43" cm="1">
        <f t="array" ref="H839">SUMPRODUCT(Tracking[Amount],--(Tracking[Date]&lt;=Tracking[[#This Row],[Date]]),(Tracking[Type]&lt;&gt;"Income")*(-1)+(Tracking[Type]="Income"))</f>
        <v>-3038.1099999999979</v>
      </c>
      <c r="I839" s="51">
        <f>IF(AND(Tracking[[#This Row],[Type]]="Income",shift_late_income_status="Active",DAY(Tracking[[#This Row],[Date]])&gt;=shift_late_income_starting_day),DATE(YEAR(Tracking[[#This Row],[Date]]),MONTH(Tracking[[#This Row],[Date]])+1,1),Tracking[[#This Row],[Date]])</f>
        <v>46177</v>
      </c>
    </row>
    <row r="840" spans="3:9" x14ac:dyDescent="0.3">
      <c r="C840" s="41">
        <v>46177</v>
      </c>
      <c r="D840" s="39" t="s">
        <v>9</v>
      </c>
      <c r="E840" s="39" t="s">
        <v>10</v>
      </c>
      <c r="F840" s="139">
        <v>7.9</v>
      </c>
      <c r="G840" s="40" t="s">
        <v>271</v>
      </c>
      <c r="H840" s="43" cm="1">
        <f t="array" ref="H840">SUMPRODUCT(Tracking[Amount],--(Tracking[Date]&lt;=Tracking[[#This Row],[Date]]),(Tracking[Type]&lt;&gt;"Income")*(-1)+(Tracking[Type]="Income"))</f>
        <v>-3038.1099999999979</v>
      </c>
      <c r="I840" s="51">
        <f>IF(AND(Tracking[[#This Row],[Type]]="Income",shift_late_income_status="Active",DAY(Tracking[[#This Row],[Date]])&gt;=shift_late_income_starting_day),DATE(YEAR(Tracking[[#This Row],[Date]]),MONTH(Tracking[[#This Row],[Date]])+1,1),Tracking[[#This Row],[Date]])</f>
        <v>46177</v>
      </c>
    </row>
    <row r="841" spans="3:9" x14ac:dyDescent="0.3">
      <c r="C841" s="41">
        <v>46174</v>
      </c>
      <c r="D841" s="39" t="s">
        <v>9</v>
      </c>
      <c r="E841" s="39" t="s">
        <v>108</v>
      </c>
      <c r="F841" s="139">
        <v>119</v>
      </c>
      <c r="G841" s="40" t="s">
        <v>405</v>
      </c>
      <c r="H841" s="43" cm="1">
        <f t="array" ref="H841">SUMPRODUCT(Tracking[Amount],--(Tracking[Date]&lt;=Tracking[[#This Row],[Date]]),(Tracking[Type]&lt;&gt;"Income")*(-1)+(Tracking[Type]="Income"))</f>
        <v>-2881.8099999999977</v>
      </c>
      <c r="I841" s="51">
        <f>IF(AND(Tracking[[#This Row],[Type]]="Income",shift_late_income_status="Active",DAY(Tracking[[#This Row],[Date]])&gt;=shift_late_income_starting_day),DATE(YEAR(Tracking[[#This Row],[Date]]),MONTH(Tracking[[#This Row],[Date]])+1,1),Tracking[[#This Row],[Date]])</f>
        <v>46174</v>
      </c>
    </row>
    <row r="842" spans="3:9" x14ac:dyDescent="0.3">
      <c r="C842" s="41">
        <v>46185</v>
      </c>
      <c r="D842" s="39" t="s">
        <v>14</v>
      </c>
      <c r="E842" s="39" t="s">
        <v>110</v>
      </c>
      <c r="F842" s="139">
        <v>142</v>
      </c>
      <c r="G842" s="40"/>
      <c r="H842" s="43" cm="1">
        <f t="array" ref="H842">SUMPRODUCT(Tracking[Amount],--(Tracking[Date]&lt;=Tracking[[#This Row],[Date]]),(Tracking[Type]&lt;&gt;"Income")*(-1)+(Tracking[Type]="Income"))</f>
        <v>-2651.5299999999975</v>
      </c>
      <c r="I842" s="51">
        <f>IF(AND(Tracking[[#This Row],[Type]]="Income",shift_late_income_status="Active",DAY(Tracking[[#This Row],[Date]])&gt;=shift_late_income_starting_day),DATE(YEAR(Tracking[[#This Row],[Date]]),MONTH(Tracking[[#This Row],[Date]])+1,1),Tracking[[#This Row],[Date]])</f>
        <v>46185</v>
      </c>
    </row>
    <row r="843" spans="3:9" x14ac:dyDescent="0.3">
      <c r="C843" s="41">
        <v>46194</v>
      </c>
      <c r="D843" s="39" t="s">
        <v>5</v>
      </c>
      <c r="E843" s="39" t="s">
        <v>106</v>
      </c>
      <c r="F843" s="139">
        <v>200</v>
      </c>
      <c r="G843" s="40"/>
      <c r="H843" s="43" cm="1">
        <f t="array" ref="H843">SUMPRODUCT(Tracking[Amount],--(Tracking[Date]&lt;=Tracking[[#This Row],[Date]]),(Tracking[Type]&lt;&gt;"Income")*(-1)+(Tracking[Type]="Income"))</f>
        <v>-2938.9399999999978</v>
      </c>
      <c r="I843" s="51">
        <f>IF(AND(Tracking[[#This Row],[Type]]="Income",shift_late_income_status="Active",DAY(Tracking[[#This Row],[Date]])&gt;=shift_late_income_starting_day),DATE(YEAR(Tracking[[#This Row],[Date]]),MONTH(Tracking[[#This Row],[Date]])+1,1),Tracking[[#This Row],[Date]])</f>
        <v>46194</v>
      </c>
    </row>
    <row r="844" spans="3:9" x14ac:dyDescent="0.3">
      <c r="C844" s="41">
        <v>46194</v>
      </c>
      <c r="D844" s="39" t="s">
        <v>14</v>
      </c>
      <c r="E844" s="39" t="s">
        <v>324</v>
      </c>
      <c r="F844" s="139">
        <v>200</v>
      </c>
      <c r="G844" s="40"/>
      <c r="H844" s="43" cm="1">
        <f t="array" ref="H844">SUMPRODUCT(Tracking[Amount],--(Tracking[Date]&lt;=Tracking[[#This Row],[Date]]),(Tracking[Type]&lt;&gt;"Income")*(-1)+(Tracking[Type]="Income"))</f>
        <v>-2938.9399999999978</v>
      </c>
      <c r="I844" s="51">
        <f>IF(AND(Tracking[[#This Row],[Type]]="Income",shift_late_income_status="Active",DAY(Tracking[[#This Row],[Date]])&gt;=shift_late_income_starting_day),DATE(YEAR(Tracking[[#This Row],[Date]]),MONTH(Tracking[[#This Row],[Date]])+1,1),Tracking[[#This Row],[Date]])</f>
        <v>46194</v>
      </c>
    </row>
    <row r="845" spans="3:9" x14ac:dyDescent="0.3">
      <c r="C845" s="41">
        <v>46199</v>
      </c>
      <c r="D845" s="39" t="s">
        <v>5</v>
      </c>
      <c r="E845" s="39" t="s">
        <v>5</v>
      </c>
      <c r="F845" s="139">
        <v>760.47</v>
      </c>
      <c r="G845" s="40" t="s">
        <v>406</v>
      </c>
      <c r="H845" s="43" cm="1">
        <f t="array" ref="H845">SUMPRODUCT(Tracking[Amount],--(Tracking[Date]&lt;=Tracking[[#This Row],[Date]]),(Tracking[Type]&lt;&gt;"Income")*(-1)+(Tracking[Type]="Income"))</f>
        <v>-2902.9399999999982</v>
      </c>
      <c r="I845" s="51">
        <f>IF(AND(Tracking[[#This Row],[Type]]="Income",shift_late_income_status="Active",DAY(Tracking[[#This Row],[Date]])&gt;=shift_late_income_starting_day),DATE(YEAR(Tracking[[#This Row],[Date]]),MONTH(Tracking[[#This Row],[Date]])+1,1),Tracking[[#This Row],[Date]])</f>
        <v>46204</v>
      </c>
    </row>
    <row r="846" spans="3:9" x14ac:dyDescent="0.3">
      <c r="C846" s="41">
        <v>46199</v>
      </c>
      <c r="D846" s="39" t="s">
        <v>9</v>
      </c>
      <c r="E846" s="39" t="s">
        <v>10</v>
      </c>
      <c r="F846" s="139">
        <v>14.83</v>
      </c>
      <c r="G846" s="40" t="s">
        <v>403</v>
      </c>
      <c r="H846" s="43" cm="1">
        <f t="array" ref="H846">SUMPRODUCT(Tracking[Amount],--(Tracking[Date]&lt;=Tracking[[#This Row],[Date]]),(Tracking[Type]&lt;&gt;"Income")*(-1)+(Tracking[Type]="Income"))</f>
        <v>-2902.9399999999982</v>
      </c>
      <c r="I846" s="51">
        <f>IF(AND(Tracking[[#This Row],[Type]]="Income",shift_late_income_status="Active",DAY(Tracking[[#This Row],[Date]])&gt;=shift_late_income_starting_day),DATE(YEAR(Tracking[[#This Row],[Date]]),MONTH(Tracking[[#This Row],[Date]])+1,1),Tracking[[#This Row],[Date]])</f>
        <v>46199</v>
      </c>
    </row>
    <row r="847" spans="3:9" x14ac:dyDescent="0.3">
      <c r="C847" s="41">
        <v>46198</v>
      </c>
      <c r="D847" s="39" t="s">
        <v>9</v>
      </c>
      <c r="E847" s="39" t="s">
        <v>318</v>
      </c>
      <c r="F847" s="139">
        <v>81.209999999999994</v>
      </c>
      <c r="G847" s="40" t="s">
        <v>398</v>
      </c>
      <c r="H847" s="43" cm="1">
        <f t="array" ref="H847">SUMPRODUCT(Tracking[Amount],--(Tracking[Date]&lt;=Tracking[[#This Row],[Date]]),(Tracking[Type]&lt;&gt;"Income")*(-1)+(Tracking[Type]="Income"))</f>
        <v>-3614.9699999999984</v>
      </c>
      <c r="I847" s="51">
        <f>IF(AND(Tracking[[#This Row],[Type]]="Income",shift_late_income_status="Active",DAY(Tracking[[#This Row],[Date]])&gt;=shift_late_income_starting_day),DATE(YEAR(Tracking[[#This Row],[Date]]),MONTH(Tracking[[#This Row],[Date]])+1,1),Tracking[[#This Row],[Date]])</f>
        <v>46198</v>
      </c>
    </row>
    <row r="848" spans="3:9" x14ac:dyDescent="0.3">
      <c r="C848" s="41">
        <v>46198</v>
      </c>
      <c r="D848" s="39" t="s">
        <v>9</v>
      </c>
      <c r="E848" s="39" t="s">
        <v>318</v>
      </c>
      <c r="F848" s="139">
        <v>16.440000000000001</v>
      </c>
      <c r="G848" s="40" t="s">
        <v>407</v>
      </c>
      <c r="H848" s="43" cm="1">
        <f t="array" ref="H848">SUMPRODUCT(Tracking[Amount],--(Tracking[Date]&lt;=Tracking[[#This Row],[Date]]),(Tracking[Type]&lt;&gt;"Income")*(-1)+(Tracking[Type]="Income"))</f>
        <v>-3614.9699999999984</v>
      </c>
      <c r="I848" s="51">
        <f>IF(AND(Tracking[[#This Row],[Type]]="Income",shift_late_income_status="Active",DAY(Tracking[[#This Row],[Date]])&gt;=shift_late_income_starting_day),DATE(YEAR(Tracking[[#This Row],[Date]]),MONTH(Tracking[[#This Row],[Date]])+1,1),Tracking[[#This Row],[Date]])</f>
        <v>46198</v>
      </c>
    </row>
    <row r="849" spans="3:9" x14ac:dyDescent="0.3">
      <c r="C849" s="41">
        <v>46198</v>
      </c>
      <c r="D849" s="39" t="s">
        <v>9</v>
      </c>
      <c r="E849" s="39" t="s">
        <v>10</v>
      </c>
      <c r="F849" s="139">
        <v>13.53</v>
      </c>
      <c r="G849" s="40" t="s">
        <v>177</v>
      </c>
      <c r="H849" s="43" cm="1">
        <f t="array" ref="H849">SUMPRODUCT(Tracking[Amount],--(Tracking[Date]&lt;=Tracking[[#This Row],[Date]]),(Tracking[Type]&lt;&gt;"Income")*(-1)+(Tracking[Type]="Income"))</f>
        <v>-3614.9699999999984</v>
      </c>
      <c r="I849" s="51">
        <f>IF(AND(Tracking[[#This Row],[Type]]="Income",shift_late_income_status="Active",DAY(Tracking[[#This Row],[Date]])&gt;=shift_late_income_starting_day),DATE(YEAR(Tracking[[#This Row],[Date]]),MONTH(Tracking[[#This Row],[Date]])+1,1),Tracking[[#This Row],[Date]])</f>
        <v>46198</v>
      </c>
    </row>
    <row r="850" spans="3:9" x14ac:dyDescent="0.3">
      <c r="C850" s="41">
        <v>46198</v>
      </c>
      <c r="D850" s="39" t="s">
        <v>9</v>
      </c>
      <c r="E850" s="39" t="s">
        <v>10</v>
      </c>
      <c r="F850" s="139">
        <v>7.58</v>
      </c>
      <c r="G850" s="40" t="s">
        <v>408</v>
      </c>
      <c r="H850" s="43" cm="1">
        <f t="array" ref="H850">SUMPRODUCT(Tracking[Amount],--(Tracking[Date]&lt;=Tracking[[#This Row],[Date]]),(Tracking[Type]&lt;&gt;"Income")*(-1)+(Tracking[Type]="Income"))</f>
        <v>-3614.9699999999984</v>
      </c>
      <c r="I850" s="51">
        <f>IF(AND(Tracking[[#This Row],[Type]]="Income",shift_late_income_status="Active",DAY(Tracking[[#This Row],[Date]])&gt;=shift_late_income_starting_day),DATE(YEAR(Tracking[[#This Row],[Date]]),MONTH(Tracking[[#This Row],[Date]])+1,1),Tracking[[#This Row],[Date]])</f>
        <v>46198</v>
      </c>
    </row>
    <row r="851" spans="3:9" x14ac:dyDescent="0.3">
      <c r="C851" s="41">
        <v>46198</v>
      </c>
      <c r="D851" s="39" t="s">
        <v>9</v>
      </c>
      <c r="E851" s="39" t="s">
        <v>10</v>
      </c>
      <c r="F851" s="139">
        <v>5.4</v>
      </c>
      <c r="G851" s="40" t="s">
        <v>379</v>
      </c>
      <c r="H851" s="43" cm="1">
        <f t="array" ref="H851">SUMPRODUCT(Tracking[Amount],--(Tracking[Date]&lt;=Tracking[[#This Row],[Date]]),(Tracking[Type]&lt;&gt;"Income")*(-1)+(Tracking[Type]="Income"))</f>
        <v>-3614.9699999999984</v>
      </c>
      <c r="I851" s="51">
        <f>IF(AND(Tracking[[#This Row],[Type]]="Income",shift_late_income_status="Active",DAY(Tracking[[#This Row],[Date]])&gt;=shift_late_income_starting_day),DATE(YEAR(Tracking[[#This Row],[Date]]),MONTH(Tracking[[#This Row],[Date]])+1,1),Tracking[[#This Row],[Date]])</f>
        <v>46198</v>
      </c>
    </row>
    <row r="852" spans="3:9" x14ac:dyDescent="0.3">
      <c r="C852" s="41">
        <v>46197</v>
      </c>
      <c r="D852" s="39" t="s">
        <v>9</v>
      </c>
      <c r="E852" s="39" t="s">
        <v>12</v>
      </c>
      <c r="F852" s="139">
        <v>21.37</v>
      </c>
      <c r="G852" s="40" t="s">
        <v>238</v>
      </c>
      <c r="H852" s="43" cm="1">
        <f t="array" ref="H852">SUMPRODUCT(Tracking[Amount],--(Tracking[Date]&lt;=Tracking[[#This Row],[Date]]),(Tracking[Type]&lt;&gt;"Income")*(-1)+(Tracking[Type]="Income"))</f>
        <v>-3490.8099999999981</v>
      </c>
      <c r="I852" s="51">
        <f>IF(AND(Tracking[[#This Row],[Type]]="Income",shift_late_income_status="Active",DAY(Tracking[[#This Row],[Date]])&gt;=shift_late_income_starting_day),DATE(YEAR(Tracking[[#This Row],[Date]]),MONTH(Tracking[[#This Row],[Date]])+1,1),Tracking[[#This Row],[Date]])</f>
        <v>46197</v>
      </c>
    </row>
    <row r="853" spans="3:9" x14ac:dyDescent="0.3">
      <c r="C853" s="41">
        <v>46197</v>
      </c>
      <c r="D853" s="39" t="s">
        <v>9</v>
      </c>
      <c r="E853" s="39" t="s">
        <v>318</v>
      </c>
      <c r="F853" s="139">
        <v>17</v>
      </c>
      <c r="G853" s="40" t="s">
        <v>409</v>
      </c>
      <c r="H853" s="43" cm="1">
        <f t="array" ref="H853">SUMPRODUCT(Tracking[Amount],--(Tracking[Date]&lt;=Tracking[[#This Row],[Date]]),(Tracking[Type]&lt;&gt;"Income")*(-1)+(Tracking[Type]="Income"))</f>
        <v>-3490.8099999999981</v>
      </c>
      <c r="I853" s="51">
        <f>IF(AND(Tracking[[#This Row],[Type]]="Income",shift_late_income_status="Active",DAY(Tracking[[#This Row],[Date]])&gt;=shift_late_income_starting_day),DATE(YEAR(Tracking[[#This Row],[Date]]),MONTH(Tracking[[#This Row],[Date]])+1,1),Tracking[[#This Row],[Date]])</f>
        <v>46197</v>
      </c>
    </row>
    <row r="854" spans="3:9" x14ac:dyDescent="0.3">
      <c r="C854" s="41">
        <v>46197</v>
      </c>
      <c r="D854" s="39" t="s">
        <v>9</v>
      </c>
      <c r="E854" s="39" t="s">
        <v>10</v>
      </c>
      <c r="F854" s="139">
        <v>5.4</v>
      </c>
      <c r="G854" s="40" t="s">
        <v>379</v>
      </c>
      <c r="H854" s="43" cm="1">
        <f t="array" ref="H854">SUMPRODUCT(Tracking[Amount],--(Tracking[Date]&lt;=Tracking[[#This Row],[Date]]),(Tracking[Type]&lt;&gt;"Income")*(-1)+(Tracking[Type]="Income"))</f>
        <v>-3490.8099999999981</v>
      </c>
      <c r="I854" s="51">
        <f>IF(AND(Tracking[[#This Row],[Type]]="Income",shift_late_income_status="Active",DAY(Tracking[[#This Row],[Date]])&gt;=shift_late_income_starting_day),DATE(YEAR(Tracking[[#This Row],[Date]]),MONTH(Tracking[[#This Row],[Date]])+1,1),Tracking[[#This Row],[Date]])</f>
        <v>46197</v>
      </c>
    </row>
    <row r="855" spans="3:9" x14ac:dyDescent="0.3">
      <c r="C855" s="41">
        <v>46197</v>
      </c>
      <c r="D855" s="39" t="s">
        <v>9</v>
      </c>
      <c r="E855" s="39" t="s">
        <v>12</v>
      </c>
      <c r="F855" s="139">
        <v>2.13</v>
      </c>
      <c r="G855" s="40" t="s">
        <v>333</v>
      </c>
      <c r="H855" s="43" cm="1">
        <f t="array" ref="H855">SUMPRODUCT(Tracking[Amount],--(Tracking[Date]&lt;=Tracking[[#This Row],[Date]]),(Tracking[Type]&lt;&gt;"Income")*(-1)+(Tracking[Type]="Income"))</f>
        <v>-3490.8099999999981</v>
      </c>
      <c r="I855" s="51">
        <f>IF(AND(Tracking[[#This Row],[Type]]="Income",shift_late_income_status="Active",DAY(Tracking[[#This Row],[Date]])&gt;=shift_late_income_starting_day),DATE(YEAR(Tracking[[#This Row],[Date]]),MONTH(Tracking[[#This Row],[Date]])+1,1),Tracking[[#This Row],[Date]])</f>
        <v>46197</v>
      </c>
    </row>
    <row r="856" spans="3:9" x14ac:dyDescent="0.3">
      <c r="C856" s="41">
        <v>46196</v>
      </c>
      <c r="D856" s="39" t="s">
        <v>9</v>
      </c>
      <c r="E856" s="39" t="s">
        <v>11</v>
      </c>
      <c r="F856" s="139">
        <v>16.22</v>
      </c>
      <c r="G856" s="40" t="s">
        <v>387</v>
      </c>
      <c r="H856" s="43" cm="1">
        <f t="array" ref="H856">SUMPRODUCT(Tracking[Amount],--(Tracking[Date]&lt;=Tracking[[#This Row],[Date]]),(Tracking[Type]&lt;&gt;"Income")*(-1)+(Tracking[Type]="Income"))</f>
        <v>-3444.909999999998</v>
      </c>
      <c r="I856" s="51">
        <f>IF(AND(Tracking[[#This Row],[Type]]="Income",shift_late_income_status="Active",DAY(Tracking[[#This Row],[Date]])&gt;=shift_late_income_starting_day),DATE(YEAR(Tracking[[#This Row],[Date]]),MONTH(Tracking[[#This Row],[Date]])+1,1),Tracking[[#This Row],[Date]])</f>
        <v>46196</v>
      </c>
    </row>
    <row r="857" spans="3:9" x14ac:dyDescent="0.3">
      <c r="C857" s="41">
        <v>46196</v>
      </c>
      <c r="D857" s="39" t="s">
        <v>9</v>
      </c>
      <c r="E857" s="39" t="s">
        <v>10</v>
      </c>
      <c r="F857" s="139">
        <v>10.16</v>
      </c>
      <c r="G857" s="40" t="s">
        <v>255</v>
      </c>
      <c r="H857" s="43" cm="1">
        <f t="array" ref="H857">SUMPRODUCT(Tracking[Amount],--(Tracking[Date]&lt;=Tracking[[#This Row],[Date]]),(Tracking[Type]&lt;&gt;"Income")*(-1)+(Tracking[Type]="Income"))</f>
        <v>-3444.909999999998</v>
      </c>
      <c r="I857" s="51">
        <f>IF(AND(Tracking[[#This Row],[Type]]="Income",shift_late_income_status="Active",DAY(Tracking[[#This Row],[Date]])&gt;=shift_late_income_starting_day),DATE(YEAR(Tracking[[#This Row],[Date]]),MONTH(Tracking[[#This Row],[Date]])+1,1),Tracking[[#This Row],[Date]])</f>
        <v>46196</v>
      </c>
    </row>
    <row r="858" spans="3:9" x14ac:dyDescent="0.3">
      <c r="C858" s="41">
        <v>46195</v>
      </c>
      <c r="D858" s="39" t="s">
        <v>9</v>
      </c>
      <c r="E858" s="39" t="s">
        <v>111</v>
      </c>
      <c r="F858" s="139">
        <v>120</v>
      </c>
      <c r="G858" s="40" t="s">
        <v>410</v>
      </c>
      <c r="H858" s="43" cm="1">
        <f t="array" ref="H858">SUMPRODUCT(Tracking[Amount],--(Tracking[Date]&lt;=Tracking[[#This Row],[Date]]),(Tracking[Type]&lt;&gt;"Income")*(-1)+(Tracking[Type]="Income"))</f>
        <v>-3298.5299999999984</v>
      </c>
      <c r="I858" s="51">
        <f>IF(AND(Tracking[[#This Row],[Type]]="Income",shift_late_income_status="Active",DAY(Tracking[[#This Row],[Date]])&gt;=shift_late_income_starting_day),DATE(YEAR(Tracking[[#This Row],[Date]]),MONTH(Tracking[[#This Row],[Date]])+1,1),Tracking[[#This Row],[Date]])</f>
        <v>46195</v>
      </c>
    </row>
    <row r="859" spans="3:9" x14ac:dyDescent="0.3">
      <c r="C859" s="41">
        <v>46195</v>
      </c>
      <c r="D859" s="39" t="s">
        <v>9</v>
      </c>
      <c r="E859" s="39" t="s">
        <v>381</v>
      </c>
      <c r="F859" s="139">
        <v>75.760000000000005</v>
      </c>
      <c r="G859" s="40" t="s">
        <v>258</v>
      </c>
      <c r="H859" s="43" cm="1">
        <f t="array" ref="H859">SUMPRODUCT(Tracking[Amount],--(Tracking[Date]&lt;=Tracking[[#This Row],[Date]]),(Tracking[Type]&lt;&gt;"Income")*(-1)+(Tracking[Type]="Income"))</f>
        <v>-3298.5299999999984</v>
      </c>
      <c r="I859" s="51">
        <f>IF(AND(Tracking[[#This Row],[Type]]="Income",shift_late_income_status="Active",DAY(Tracking[[#This Row],[Date]])&gt;=shift_late_income_starting_day),DATE(YEAR(Tracking[[#This Row],[Date]]),MONTH(Tracking[[#This Row],[Date]])+1,1),Tracking[[#This Row],[Date]])</f>
        <v>46195</v>
      </c>
    </row>
    <row r="860" spans="3:9" x14ac:dyDescent="0.3">
      <c r="C860" s="41">
        <v>46195</v>
      </c>
      <c r="D860" s="39" t="s">
        <v>9</v>
      </c>
      <c r="E860" s="39" t="s">
        <v>381</v>
      </c>
      <c r="F860" s="139">
        <v>41.12</v>
      </c>
      <c r="G860" s="40" t="s">
        <v>258</v>
      </c>
      <c r="H860" s="43" cm="1">
        <f t="array" ref="H860">SUMPRODUCT(Tracking[Amount],--(Tracking[Date]&lt;=Tracking[[#This Row],[Date]]),(Tracking[Type]&lt;&gt;"Income")*(-1)+(Tracking[Type]="Income"))</f>
        <v>-3298.5299999999984</v>
      </c>
      <c r="I860" s="51">
        <f>IF(AND(Tracking[[#This Row],[Type]]="Income",shift_late_income_status="Active",DAY(Tracking[[#This Row],[Date]])&gt;=shift_late_income_starting_day),DATE(YEAR(Tracking[[#This Row],[Date]]),MONTH(Tracking[[#This Row],[Date]])+1,1),Tracking[[#This Row],[Date]])</f>
        <v>46195</v>
      </c>
    </row>
    <row r="861" spans="3:9" x14ac:dyDescent="0.3">
      <c r="C861" s="41">
        <v>46195</v>
      </c>
      <c r="D861" s="39" t="s">
        <v>9</v>
      </c>
      <c r="E861" s="39" t="s">
        <v>10</v>
      </c>
      <c r="F861" s="139">
        <v>33.840000000000003</v>
      </c>
      <c r="G861" s="40" t="s">
        <v>403</v>
      </c>
      <c r="H861" s="43" cm="1">
        <f t="array" ref="H861">SUMPRODUCT(Tracking[Amount],--(Tracking[Date]&lt;=Tracking[[#This Row],[Date]]),(Tracking[Type]&lt;&gt;"Income")*(-1)+(Tracking[Type]="Income"))</f>
        <v>-3298.5299999999984</v>
      </c>
      <c r="I861" s="51">
        <f>IF(AND(Tracking[[#This Row],[Type]]="Income",shift_late_income_status="Active",DAY(Tracking[[#This Row],[Date]])&gt;=shift_late_income_starting_day),DATE(YEAR(Tracking[[#This Row],[Date]]),MONTH(Tracking[[#This Row],[Date]])+1,1),Tracking[[#This Row],[Date]])</f>
        <v>46195</v>
      </c>
    </row>
    <row r="862" spans="3:9" x14ac:dyDescent="0.3">
      <c r="C862" s="41">
        <v>46195</v>
      </c>
      <c r="D862" s="39" t="s">
        <v>9</v>
      </c>
      <c r="E862" s="39" t="s">
        <v>10</v>
      </c>
      <c r="F862" s="139">
        <v>33.68</v>
      </c>
      <c r="G862" s="40" t="s">
        <v>393</v>
      </c>
      <c r="H862" s="43" cm="1">
        <f t="array" ref="H862">SUMPRODUCT(Tracking[Amount],--(Tracking[Date]&lt;=Tracking[[#This Row],[Date]]),(Tracking[Type]&lt;&gt;"Income")*(-1)+(Tracking[Type]="Income"))</f>
        <v>-3298.5299999999984</v>
      </c>
      <c r="I862" s="51">
        <f>IF(AND(Tracking[[#This Row],[Type]]="Income",shift_late_income_status="Active",DAY(Tracking[[#This Row],[Date]])&gt;=shift_late_income_starting_day),DATE(YEAR(Tracking[[#This Row],[Date]]),MONTH(Tracking[[#This Row],[Date]])+1,1),Tracking[[#This Row],[Date]])</f>
        <v>46195</v>
      </c>
    </row>
    <row r="863" spans="3:9" x14ac:dyDescent="0.3">
      <c r="C863" s="41">
        <v>46195</v>
      </c>
      <c r="D863" s="39" t="s">
        <v>9</v>
      </c>
      <c r="E863" s="39" t="s">
        <v>10</v>
      </c>
      <c r="F863" s="139">
        <v>17.75</v>
      </c>
      <c r="G863" s="40" t="s">
        <v>304</v>
      </c>
      <c r="H863" s="43" cm="1">
        <f t="array" ref="H863">SUMPRODUCT(Tracking[Amount],--(Tracking[Date]&lt;=Tracking[[#This Row],[Date]]),(Tracking[Type]&lt;&gt;"Income")*(-1)+(Tracking[Type]="Income"))</f>
        <v>-3298.5299999999984</v>
      </c>
      <c r="I863" s="51">
        <f>IF(AND(Tracking[[#This Row],[Type]]="Income",shift_late_income_status="Active",DAY(Tracking[[#This Row],[Date]])&gt;=shift_late_income_starting_day),DATE(YEAR(Tracking[[#This Row],[Date]]),MONTH(Tracking[[#This Row],[Date]])+1,1),Tracking[[#This Row],[Date]])</f>
        <v>46195</v>
      </c>
    </row>
    <row r="864" spans="3:9" x14ac:dyDescent="0.3">
      <c r="C864" s="41">
        <v>46195</v>
      </c>
      <c r="D864" s="39" t="s">
        <v>9</v>
      </c>
      <c r="E864" s="39" t="s">
        <v>10</v>
      </c>
      <c r="F864" s="139">
        <v>13.53</v>
      </c>
      <c r="G864" s="40" t="s">
        <v>177</v>
      </c>
      <c r="H864" s="43" cm="1">
        <f t="array" ref="H864">SUMPRODUCT(Tracking[Amount],--(Tracking[Date]&lt;=Tracking[[#This Row],[Date]]),(Tracking[Type]&lt;&gt;"Income")*(-1)+(Tracking[Type]="Income"))</f>
        <v>-3298.5299999999984</v>
      </c>
      <c r="I864" s="51">
        <f>IF(AND(Tracking[[#This Row],[Type]]="Income",shift_late_income_status="Active",DAY(Tracking[[#This Row],[Date]])&gt;=shift_late_income_starting_day),DATE(YEAR(Tracking[[#This Row],[Date]]),MONTH(Tracking[[#This Row],[Date]])+1,1),Tracking[[#This Row],[Date]])</f>
        <v>46195</v>
      </c>
    </row>
    <row r="865" spans="3:9" x14ac:dyDescent="0.3">
      <c r="C865" s="41">
        <v>46195</v>
      </c>
      <c r="D865" s="39" t="s">
        <v>9</v>
      </c>
      <c r="E865" s="39" t="s">
        <v>10</v>
      </c>
      <c r="F865" s="139">
        <v>9.69</v>
      </c>
      <c r="G865" s="40" t="s">
        <v>379</v>
      </c>
      <c r="H865" s="43" cm="1">
        <f t="array" ref="H865">SUMPRODUCT(Tracking[Amount],--(Tracking[Date]&lt;=Tracking[[#This Row],[Date]]),(Tracking[Type]&lt;&gt;"Income")*(-1)+(Tracking[Type]="Income"))</f>
        <v>-3298.5299999999984</v>
      </c>
      <c r="I865" s="51">
        <f>IF(AND(Tracking[[#This Row],[Type]]="Income",shift_late_income_status="Active",DAY(Tracking[[#This Row],[Date]])&gt;=shift_late_income_starting_day),DATE(YEAR(Tracking[[#This Row],[Date]]),MONTH(Tracking[[#This Row],[Date]])+1,1),Tracking[[#This Row],[Date]])</f>
        <v>46195</v>
      </c>
    </row>
    <row r="866" spans="3:9" x14ac:dyDescent="0.3">
      <c r="C866" s="41">
        <v>46195</v>
      </c>
      <c r="D866" s="39" t="s">
        <v>9</v>
      </c>
      <c r="E866" s="39" t="s">
        <v>10</v>
      </c>
      <c r="F866" s="139">
        <v>8.82</v>
      </c>
      <c r="G866" s="40" t="s">
        <v>411</v>
      </c>
      <c r="H866" s="43" cm="1">
        <f t="array" ref="H866">SUMPRODUCT(Tracking[Amount],--(Tracking[Date]&lt;=Tracking[[#This Row],[Date]]),(Tracking[Type]&lt;&gt;"Income")*(-1)+(Tracking[Type]="Income"))</f>
        <v>-3298.5299999999984</v>
      </c>
      <c r="I866" s="51">
        <f>IF(AND(Tracking[[#This Row],[Type]]="Income",shift_late_income_status="Active",DAY(Tracking[[#This Row],[Date]])&gt;=shift_late_income_starting_day),DATE(YEAR(Tracking[[#This Row],[Date]]),MONTH(Tracking[[#This Row],[Date]])+1,1),Tracking[[#This Row],[Date]])</f>
        <v>46195</v>
      </c>
    </row>
    <row r="867" spans="3:9" x14ac:dyDescent="0.3">
      <c r="C867" s="41">
        <v>46195</v>
      </c>
      <c r="D867" s="39" t="s">
        <v>9</v>
      </c>
      <c r="E867" s="39" t="s">
        <v>10</v>
      </c>
      <c r="F867" s="139">
        <v>5.4</v>
      </c>
      <c r="G867" s="40" t="s">
        <v>379</v>
      </c>
      <c r="H867" s="43" cm="1">
        <f t="array" ref="H867">SUMPRODUCT(Tracking[Amount],--(Tracking[Date]&lt;=Tracking[[#This Row],[Date]]),(Tracking[Type]&lt;&gt;"Income")*(-1)+(Tracking[Type]="Income"))</f>
        <v>-3298.5299999999984</v>
      </c>
      <c r="I867" s="51">
        <f>IF(AND(Tracking[[#This Row],[Type]]="Income",shift_late_income_status="Active",DAY(Tracking[[#This Row],[Date]])&gt;=shift_late_income_starting_day),DATE(YEAR(Tracking[[#This Row],[Date]]),MONTH(Tracking[[#This Row],[Date]])+1,1),Tracking[[#This Row],[Date]])</f>
        <v>46195</v>
      </c>
    </row>
    <row r="868" spans="3:9" x14ac:dyDescent="0.3">
      <c r="C868" s="41">
        <v>46191</v>
      </c>
      <c r="D868" s="39" t="s">
        <v>9</v>
      </c>
      <c r="E868" s="39" t="s">
        <v>381</v>
      </c>
      <c r="F868" s="139">
        <v>140.69</v>
      </c>
      <c r="G868" s="40" t="s">
        <v>258</v>
      </c>
      <c r="H868" s="43" cm="1">
        <f t="array" ref="H868">SUMPRODUCT(Tracking[Amount],--(Tracking[Date]&lt;=Tracking[[#This Row],[Date]]),(Tracking[Type]&lt;&gt;"Income")*(-1)+(Tracking[Type]="Income"))</f>
        <v>-2938.9399999999978</v>
      </c>
      <c r="I868" s="51">
        <f>IF(AND(Tracking[[#This Row],[Type]]="Income",shift_late_income_status="Active",DAY(Tracking[[#This Row],[Date]])&gt;=shift_late_income_starting_day),DATE(YEAR(Tracking[[#This Row],[Date]]),MONTH(Tracking[[#This Row],[Date]])+1,1),Tracking[[#This Row],[Date]])</f>
        <v>46191</v>
      </c>
    </row>
    <row r="869" spans="3:9" x14ac:dyDescent="0.3">
      <c r="C869" s="41">
        <v>46191</v>
      </c>
      <c r="D869" s="39" t="s">
        <v>9</v>
      </c>
      <c r="E869" s="39" t="s">
        <v>10</v>
      </c>
      <c r="F869" s="139">
        <v>10.78</v>
      </c>
      <c r="G869" s="40" t="s">
        <v>272</v>
      </c>
      <c r="H869" s="43" cm="1">
        <f t="array" ref="H869">SUMPRODUCT(Tracking[Amount],--(Tracking[Date]&lt;=Tracking[[#This Row],[Date]]),(Tracking[Type]&lt;&gt;"Income")*(-1)+(Tracking[Type]="Income"))</f>
        <v>-2938.9399999999978</v>
      </c>
      <c r="I869" s="51">
        <f>IF(AND(Tracking[[#This Row],[Type]]="Income",shift_late_income_status="Active",DAY(Tracking[[#This Row],[Date]])&gt;=shift_late_income_starting_day),DATE(YEAR(Tracking[[#This Row],[Date]]),MONTH(Tracking[[#This Row],[Date]])+1,1),Tracking[[#This Row],[Date]])</f>
        <v>46191</v>
      </c>
    </row>
    <row r="870" spans="3:9" x14ac:dyDescent="0.3">
      <c r="C870" s="41">
        <v>46191</v>
      </c>
      <c r="D870" s="39" t="s">
        <v>9</v>
      </c>
      <c r="E870" s="39" t="s">
        <v>10</v>
      </c>
      <c r="F870" s="139">
        <v>9.4</v>
      </c>
      <c r="G870" s="40" t="s">
        <v>379</v>
      </c>
      <c r="H870" s="43" cm="1">
        <f t="array" ref="H870">SUMPRODUCT(Tracking[Amount],--(Tracking[Date]&lt;=Tracking[[#This Row],[Date]]),(Tracking[Type]&lt;&gt;"Income")*(-1)+(Tracking[Type]="Income"))</f>
        <v>-2938.9399999999978</v>
      </c>
      <c r="I870" s="51">
        <f>IF(AND(Tracking[[#This Row],[Type]]="Income",shift_late_income_status="Active",DAY(Tracking[[#This Row],[Date]])&gt;=shift_late_income_starting_day),DATE(YEAR(Tracking[[#This Row],[Date]]),MONTH(Tracking[[#This Row],[Date]])+1,1),Tracking[[#This Row],[Date]])</f>
        <v>46191</v>
      </c>
    </row>
    <row r="871" spans="3:9" x14ac:dyDescent="0.3">
      <c r="C871" s="41">
        <v>46191</v>
      </c>
      <c r="D871" s="39" t="s">
        <v>9</v>
      </c>
      <c r="E871" s="39" t="s">
        <v>10</v>
      </c>
      <c r="F871" s="139">
        <v>1.83</v>
      </c>
      <c r="G871" s="40" t="s">
        <v>412</v>
      </c>
      <c r="H871" s="43" cm="1">
        <f t="array" ref="H871">SUMPRODUCT(Tracking[Amount],--(Tracking[Date]&lt;=Tracking[[#This Row],[Date]]),(Tracking[Type]&lt;&gt;"Income")*(-1)+(Tracking[Type]="Income"))</f>
        <v>-2938.9399999999978</v>
      </c>
      <c r="I871" s="51">
        <f>IF(AND(Tracking[[#This Row],[Type]]="Income",shift_late_income_status="Active",DAY(Tracking[[#This Row],[Date]])&gt;=shift_late_income_starting_day),DATE(YEAR(Tracking[[#This Row],[Date]]),MONTH(Tracking[[#This Row],[Date]])+1,1),Tracking[[#This Row],[Date]])</f>
        <v>46191</v>
      </c>
    </row>
    <row r="872" spans="3:9" x14ac:dyDescent="0.3">
      <c r="C872" s="41">
        <v>46190</v>
      </c>
      <c r="D872" s="39" t="s">
        <v>9</v>
      </c>
      <c r="E872" s="39" t="s">
        <v>10</v>
      </c>
      <c r="F872" s="139">
        <v>10.46</v>
      </c>
      <c r="G872" s="40" t="s">
        <v>219</v>
      </c>
      <c r="H872" s="43" cm="1">
        <f t="array" ref="H872">SUMPRODUCT(Tracking[Amount],--(Tracking[Date]&lt;=Tracking[[#This Row],[Date]]),(Tracking[Type]&lt;&gt;"Income")*(-1)+(Tracking[Type]="Income"))</f>
        <v>-2776.2399999999975</v>
      </c>
      <c r="I872" s="51">
        <f>IF(AND(Tracking[[#This Row],[Type]]="Income",shift_late_income_status="Active",DAY(Tracking[[#This Row],[Date]])&gt;=shift_late_income_starting_day),DATE(YEAR(Tracking[[#This Row],[Date]]),MONTH(Tracking[[#This Row],[Date]])+1,1),Tracking[[#This Row],[Date]])</f>
        <v>46190</v>
      </c>
    </row>
    <row r="873" spans="3:9" x14ac:dyDescent="0.3">
      <c r="C873" s="41">
        <v>46189</v>
      </c>
      <c r="D873" s="39" t="s">
        <v>9</v>
      </c>
      <c r="E873" s="39" t="s">
        <v>10</v>
      </c>
      <c r="F873" s="139">
        <v>25.01</v>
      </c>
      <c r="G873" s="40" t="s">
        <v>304</v>
      </c>
      <c r="H873" s="43" cm="1">
        <f t="array" ref="H873">SUMPRODUCT(Tracking[Amount],--(Tracking[Date]&lt;=Tracking[[#This Row],[Date]]),(Tracking[Type]&lt;&gt;"Income")*(-1)+(Tracking[Type]="Income"))</f>
        <v>-2765.7799999999975</v>
      </c>
      <c r="I873" s="51">
        <f>IF(AND(Tracking[[#This Row],[Type]]="Income",shift_late_income_status="Active",DAY(Tracking[[#This Row],[Date]])&gt;=shift_late_income_starting_day),DATE(YEAR(Tracking[[#This Row],[Date]]),MONTH(Tracking[[#This Row],[Date]])+1,1),Tracking[[#This Row],[Date]])</f>
        <v>46189</v>
      </c>
    </row>
    <row r="874" spans="3:9" x14ac:dyDescent="0.3">
      <c r="C874" s="41">
        <v>46189</v>
      </c>
      <c r="D874" s="39" t="s">
        <v>9</v>
      </c>
      <c r="E874" s="39" t="s">
        <v>12</v>
      </c>
      <c r="F874" s="139">
        <v>21.34</v>
      </c>
      <c r="G874" s="40" t="s">
        <v>413</v>
      </c>
      <c r="H874" s="43" cm="1">
        <f t="array" ref="H874">SUMPRODUCT(Tracking[Amount],--(Tracking[Date]&lt;=Tracking[[#This Row],[Date]]),(Tracking[Type]&lt;&gt;"Income")*(-1)+(Tracking[Type]="Income"))</f>
        <v>-2765.7799999999975</v>
      </c>
      <c r="I874" s="51">
        <f>IF(AND(Tracking[[#This Row],[Type]]="Income",shift_late_income_status="Active",DAY(Tracking[[#This Row],[Date]])&gt;=shift_late_income_starting_day),DATE(YEAR(Tracking[[#This Row],[Date]]),MONTH(Tracking[[#This Row],[Date]])+1,1),Tracking[[#This Row],[Date]])</f>
        <v>46189</v>
      </c>
    </row>
    <row r="875" spans="3:9" x14ac:dyDescent="0.3">
      <c r="C875" s="41">
        <v>46189</v>
      </c>
      <c r="D875" s="39" t="s">
        <v>9</v>
      </c>
      <c r="E875" s="39" t="s">
        <v>10</v>
      </c>
      <c r="F875" s="139">
        <v>5.95</v>
      </c>
      <c r="G875" s="40" t="s">
        <v>414</v>
      </c>
      <c r="H875" s="43" cm="1">
        <f t="array" ref="H875">SUMPRODUCT(Tracking[Amount],--(Tracking[Date]&lt;=Tracking[[#This Row],[Date]]),(Tracking[Type]&lt;&gt;"Income")*(-1)+(Tracking[Type]="Income"))</f>
        <v>-2765.7799999999975</v>
      </c>
      <c r="I875" s="51">
        <f>IF(AND(Tracking[[#This Row],[Type]]="Income",shift_late_income_status="Active",DAY(Tracking[[#This Row],[Date]])&gt;=shift_late_income_starting_day),DATE(YEAR(Tracking[[#This Row],[Date]]),MONTH(Tracking[[#This Row],[Date]])+1,1),Tracking[[#This Row],[Date]])</f>
        <v>46189</v>
      </c>
    </row>
    <row r="876" spans="3:9" x14ac:dyDescent="0.3">
      <c r="C876" s="41">
        <v>46188</v>
      </c>
      <c r="D876" s="39" t="s">
        <v>9</v>
      </c>
      <c r="E876" s="39" t="s">
        <v>10</v>
      </c>
      <c r="F876" s="139">
        <v>25.2</v>
      </c>
      <c r="G876" s="40" t="s">
        <v>393</v>
      </c>
      <c r="H876" s="43" cm="1">
        <f t="array" ref="H876">SUMPRODUCT(Tracking[Amount],--(Tracking[Date]&lt;=Tracking[[#This Row],[Date]]),(Tracking[Type]&lt;&gt;"Income")*(-1)+(Tracking[Type]="Income"))</f>
        <v>-2713.4799999999973</v>
      </c>
      <c r="I876" s="51">
        <f>IF(AND(Tracking[[#This Row],[Type]]="Income",shift_late_income_status="Active",DAY(Tracking[[#This Row],[Date]])&gt;=shift_late_income_starting_day),DATE(YEAR(Tracking[[#This Row],[Date]]),MONTH(Tracking[[#This Row],[Date]])+1,1),Tracking[[#This Row],[Date]])</f>
        <v>46188</v>
      </c>
    </row>
    <row r="877" spans="3:9" x14ac:dyDescent="0.3">
      <c r="C877" s="41">
        <v>46188</v>
      </c>
      <c r="D877" s="39" t="s">
        <v>9</v>
      </c>
      <c r="E877" s="39" t="s">
        <v>318</v>
      </c>
      <c r="F877" s="139">
        <v>14</v>
      </c>
      <c r="G877" s="40" t="s">
        <v>415</v>
      </c>
      <c r="H877" s="43" cm="1">
        <f t="array" ref="H877">SUMPRODUCT(Tracking[Amount],--(Tracking[Date]&lt;=Tracking[[#This Row],[Date]]),(Tracking[Type]&lt;&gt;"Income")*(-1)+(Tracking[Type]="Income"))</f>
        <v>-2713.4799999999973</v>
      </c>
      <c r="I877" s="51">
        <f>IF(AND(Tracking[[#This Row],[Type]]="Income",shift_late_income_status="Active",DAY(Tracking[[#This Row],[Date]])&gt;=shift_late_income_starting_day),DATE(YEAR(Tracking[[#This Row],[Date]]),MONTH(Tracking[[#This Row],[Date]])+1,1),Tracking[[#This Row],[Date]])</f>
        <v>46188</v>
      </c>
    </row>
    <row r="878" spans="3:9" x14ac:dyDescent="0.3">
      <c r="C878" s="41">
        <v>46188</v>
      </c>
      <c r="D878" s="39" t="s">
        <v>9</v>
      </c>
      <c r="E878" s="39" t="s">
        <v>318</v>
      </c>
      <c r="F878" s="139">
        <v>10.25</v>
      </c>
      <c r="G878" s="40" t="s">
        <v>416</v>
      </c>
      <c r="H878" s="43" cm="1">
        <f t="array" ref="H878">SUMPRODUCT(Tracking[Amount],--(Tracking[Date]&lt;=Tracking[[#This Row],[Date]]),(Tracking[Type]&lt;&gt;"Income")*(-1)+(Tracking[Type]="Income"))</f>
        <v>-2713.4799999999973</v>
      </c>
      <c r="I878" s="51">
        <f>IF(AND(Tracking[[#This Row],[Type]]="Income",shift_late_income_status="Active",DAY(Tracking[[#This Row],[Date]])&gt;=shift_late_income_starting_day),DATE(YEAR(Tracking[[#This Row],[Date]]),MONTH(Tracking[[#This Row],[Date]])+1,1),Tracking[[#This Row],[Date]])</f>
        <v>46188</v>
      </c>
    </row>
    <row r="879" spans="3:9" x14ac:dyDescent="0.3">
      <c r="C879" s="41">
        <v>46188</v>
      </c>
      <c r="D879" s="39" t="s">
        <v>9</v>
      </c>
      <c r="E879" s="39" t="s">
        <v>318</v>
      </c>
      <c r="F879" s="139">
        <v>7</v>
      </c>
      <c r="G879" s="40" t="s">
        <v>416</v>
      </c>
      <c r="H879" s="43" cm="1">
        <f t="array" ref="H879">SUMPRODUCT(Tracking[Amount],--(Tracking[Date]&lt;=Tracking[[#This Row],[Date]]),(Tracking[Type]&lt;&gt;"Income")*(-1)+(Tracking[Type]="Income"))</f>
        <v>-2713.4799999999973</v>
      </c>
      <c r="I879" s="51">
        <f>IF(AND(Tracking[[#This Row],[Type]]="Income",shift_late_income_status="Active",DAY(Tracking[[#This Row],[Date]])&gt;=shift_late_income_starting_day),DATE(YEAR(Tracking[[#This Row],[Date]]),MONTH(Tracking[[#This Row],[Date]])+1,1),Tracking[[#This Row],[Date]])</f>
        <v>46188</v>
      </c>
    </row>
    <row r="880" spans="3:9" x14ac:dyDescent="0.3">
      <c r="C880" s="41">
        <v>46188</v>
      </c>
      <c r="D880" s="39" t="s">
        <v>9</v>
      </c>
      <c r="E880" s="39" t="s">
        <v>318</v>
      </c>
      <c r="F880" s="139">
        <v>3.5</v>
      </c>
      <c r="G880" s="40" t="s">
        <v>415</v>
      </c>
      <c r="H880" s="43" cm="1">
        <f t="array" ref="H880">SUMPRODUCT(Tracking[Amount],--(Tracking[Date]&lt;=Tracking[[#This Row],[Date]]),(Tracking[Type]&lt;&gt;"Income")*(-1)+(Tracking[Type]="Income"))</f>
        <v>-2713.4799999999973</v>
      </c>
      <c r="I880" s="51">
        <f>IF(AND(Tracking[[#This Row],[Type]]="Income",shift_late_income_status="Active",DAY(Tracking[[#This Row],[Date]])&gt;=shift_late_income_starting_day),DATE(YEAR(Tracking[[#This Row],[Date]]),MONTH(Tracking[[#This Row],[Date]])+1,1),Tracking[[#This Row],[Date]])</f>
        <v>46188</v>
      </c>
    </row>
    <row r="881" spans="3:9" x14ac:dyDescent="0.3">
      <c r="C881" s="41">
        <v>46188</v>
      </c>
      <c r="D881" s="39" t="s">
        <v>9</v>
      </c>
      <c r="E881" s="39" t="s">
        <v>318</v>
      </c>
      <c r="F881" s="139">
        <v>2</v>
      </c>
      <c r="G881" s="40" t="s">
        <v>416</v>
      </c>
      <c r="H881" s="43" cm="1">
        <f t="array" ref="H881">SUMPRODUCT(Tracking[Amount],--(Tracking[Date]&lt;=Tracking[[#This Row],[Date]]),(Tracking[Type]&lt;&gt;"Income")*(-1)+(Tracking[Type]="Income"))</f>
        <v>-2713.4799999999973</v>
      </c>
      <c r="I881" s="51">
        <f>IF(AND(Tracking[[#This Row],[Type]]="Income",shift_late_income_status="Active",DAY(Tracking[[#This Row],[Date]])&gt;=shift_late_income_starting_day),DATE(YEAR(Tracking[[#This Row],[Date]]),MONTH(Tracking[[#This Row],[Date]])+1,1),Tracking[[#This Row],[Date]])</f>
        <v>46188</v>
      </c>
    </row>
    <row r="882" spans="3:9" x14ac:dyDescent="0.3">
      <c r="C882" s="41">
        <v>46196</v>
      </c>
      <c r="D882" s="39" t="s">
        <v>9</v>
      </c>
      <c r="E882" s="39" t="s">
        <v>404</v>
      </c>
      <c r="F882" s="139">
        <v>120</v>
      </c>
      <c r="G882" s="40" t="s">
        <v>417</v>
      </c>
      <c r="H882" s="43" cm="1">
        <f t="array" ref="H882">SUMPRODUCT(Tracking[Amount],--(Tracking[Date]&lt;=Tracking[[#This Row],[Date]]),(Tracking[Type]&lt;&gt;"Income")*(-1)+(Tracking[Type]="Income"))</f>
        <v>-3444.909999999998</v>
      </c>
      <c r="I882" s="51">
        <f>IF(AND(Tracking[[#This Row],[Type]]="Income",shift_late_income_status="Active",DAY(Tracking[[#This Row],[Date]])&gt;=shift_late_income_starting_day),DATE(YEAR(Tracking[[#This Row],[Date]]),MONTH(Tracking[[#This Row],[Date]])+1,1),Tracking[[#This Row],[Date]])</f>
        <v>46196</v>
      </c>
    </row>
    <row r="883" spans="3:9" x14ac:dyDescent="0.3">
      <c r="C883" s="41">
        <v>46199</v>
      </c>
      <c r="D883" s="39" t="s">
        <v>9</v>
      </c>
      <c r="E883" s="39" t="s">
        <v>10</v>
      </c>
      <c r="F883" s="139">
        <v>33.61</v>
      </c>
      <c r="G883" s="40" t="s">
        <v>418</v>
      </c>
      <c r="H883" s="43" cm="1">
        <f t="array" ref="H883">SUMPRODUCT(Tracking[Amount],--(Tracking[Date]&lt;=Tracking[[#This Row],[Date]]),(Tracking[Type]&lt;&gt;"Income")*(-1)+(Tracking[Type]="Income"))</f>
        <v>-2902.9399999999982</v>
      </c>
      <c r="I883" s="51">
        <f>IF(AND(Tracking[[#This Row],[Type]]="Income",shift_late_income_status="Active",DAY(Tracking[[#This Row],[Date]])&gt;=shift_late_income_starting_day),DATE(YEAR(Tracking[[#This Row],[Date]]),MONTH(Tracking[[#This Row],[Date]])+1,1),Tracking[[#This Row],[Date]])</f>
        <v>46199</v>
      </c>
    </row>
    <row r="884" spans="3:9" x14ac:dyDescent="0.3">
      <c r="C884" s="41">
        <v>46206</v>
      </c>
      <c r="D884" s="39" t="s">
        <v>9</v>
      </c>
      <c r="E884" s="39" t="s">
        <v>381</v>
      </c>
      <c r="F884" s="139">
        <v>38.5</v>
      </c>
      <c r="G884" s="40" t="s">
        <v>274</v>
      </c>
      <c r="H884" s="43"/>
      <c r="I884" s="51"/>
    </row>
    <row r="885" spans="3:9" x14ac:dyDescent="0.3">
      <c r="C885" s="41">
        <v>46206</v>
      </c>
      <c r="D885" s="39" t="s">
        <v>9</v>
      </c>
      <c r="E885" s="39" t="s">
        <v>10</v>
      </c>
      <c r="F885" s="139">
        <v>23.68</v>
      </c>
      <c r="G885" s="40" t="s">
        <v>420</v>
      </c>
      <c r="H885" s="43" cm="1">
        <f t="array" ref="H885">SUMPRODUCT(Tracking[Amount],--(Tracking[Date]&lt;=Tracking[[#This Row],[Date]]),(Tracking[Type]&lt;&gt;"Income")*(-1)+(Tracking[Type]="Income"))</f>
        <v>-3597.3399999999979</v>
      </c>
      <c r="I885" s="51">
        <f>IF(AND(Tracking[[#This Row],[Type]]="Income",shift_late_income_status="Active",DAY(Tracking[[#This Row],[Date]])&gt;=shift_late_income_starting_day),DATE(YEAR(Tracking[[#This Row],[Date]]),MONTH(Tracking[[#This Row],[Date]])+1,1),Tracking[[#This Row],[Date]])</f>
        <v>46206</v>
      </c>
    </row>
    <row r="886" spans="3:9" x14ac:dyDescent="0.3">
      <c r="C886" s="41">
        <v>46206</v>
      </c>
      <c r="D886" s="39" t="s">
        <v>9</v>
      </c>
      <c r="E886" s="39" t="s">
        <v>12</v>
      </c>
      <c r="F886" s="139">
        <v>16.18</v>
      </c>
      <c r="G886" s="40" t="s">
        <v>289</v>
      </c>
      <c r="H886" s="43" cm="1">
        <f t="array" ref="H886">SUMPRODUCT(Tracking[Amount],--(Tracking[Date]&lt;=Tracking[[#This Row],[Date]]),(Tracking[Type]&lt;&gt;"Income")*(-1)+(Tracking[Type]="Income"))</f>
        <v>-3597.3399999999979</v>
      </c>
      <c r="I886" s="51">
        <f>IF(AND(Tracking[[#This Row],[Type]]="Income",shift_late_income_status="Active",DAY(Tracking[[#This Row],[Date]])&gt;=shift_late_income_starting_day),DATE(YEAR(Tracking[[#This Row],[Date]]),MONTH(Tracking[[#This Row],[Date]])+1,1),Tracking[[#This Row],[Date]])</f>
        <v>46206</v>
      </c>
    </row>
    <row r="887" spans="3:9" x14ac:dyDescent="0.3">
      <c r="C887" s="41">
        <v>46206</v>
      </c>
      <c r="D887" s="39" t="s">
        <v>9</v>
      </c>
      <c r="E887" s="39" t="s">
        <v>10</v>
      </c>
      <c r="F887" s="139">
        <v>12.31</v>
      </c>
      <c r="G887" s="40" t="s">
        <v>421</v>
      </c>
      <c r="H887" s="43" cm="1">
        <f t="array" ref="H887">SUMPRODUCT(Tracking[Amount],--(Tracking[Date]&lt;=Tracking[[#This Row],[Date]]),(Tracking[Type]&lt;&gt;"Income")*(-1)+(Tracking[Type]="Income"))</f>
        <v>-3597.3399999999979</v>
      </c>
      <c r="I887" s="51">
        <f>IF(AND(Tracking[[#This Row],[Type]]="Income",shift_late_income_status="Active",DAY(Tracking[[#This Row],[Date]])&gt;=shift_late_income_starting_day),DATE(YEAR(Tracking[[#This Row],[Date]]),MONTH(Tracking[[#This Row],[Date]])+1,1),Tracking[[#This Row],[Date]])</f>
        <v>46206</v>
      </c>
    </row>
    <row r="888" spans="3:9" x14ac:dyDescent="0.3">
      <c r="C888" s="41">
        <v>46206</v>
      </c>
      <c r="D888" s="39" t="s">
        <v>9</v>
      </c>
      <c r="E888" s="39" t="s">
        <v>10</v>
      </c>
      <c r="F888" s="139">
        <v>5.4</v>
      </c>
      <c r="G888" s="40" t="s">
        <v>379</v>
      </c>
      <c r="H888" s="43" cm="1">
        <f t="array" ref="H888">SUMPRODUCT(Tracking[Amount],--(Tracking[Date]&lt;=Tracking[[#This Row],[Date]]),(Tracking[Type]&lt;&gt;"Income")*(-1)+(Tracking[Type]="Income"))</f>
        <v>-3597.3399999999979</v>
      </c>
      <c r="I888" s="51">
        <f>IF(AND(Tracking[[#This Row],[Type]]="Income",shift_late_income_status="Active",DAY(Tracking[[#This Row],[Date]])&gt;=shift_late_income_starting_day),DATE(YEAR(Tracking[[#This Row],[Date]]),MONTH(Tracking[[#This Row],[Date]])+1,1),Tracking[[#This Row],[Date]])</f>
        <v>46206</v>
      </c>
    </row>
    <row r="889" spans="3:9" x14ac:dyDescent="0.3">
      <c r="C889" s="41">
        <v>46205</v>
      </c>
      <c r="D889" s="39" t="s">
        <v>9</v>
      </c>
      <c r="E889" s="39" t="s">
        <v>318</v>
      </c>
      <c r="F889" s="139">
        <v>10</v>
      </c>
      <c r="G889" s="40" t="s">
        <v>422</v>
      </c>
      <c r="H889" s="43" cm="1">
        <f t="array" ref="H889">SUMPRODUCT(Tracking[Amount],--(Tracking[Date]&lt;=Tracking[[#This Row],[Date]]),(Tracking[Type]&lt;&gt;"Income")*(-1)+(Tracking[Type]="Income"))</f>
        <v>-3501.2699999999982</v>
      </c>
      <c r="I889" s="51">
        <f>IF(AND(Tracking[[#This Row],[Type]]="Income",shift_late_income_status="Active",DAY(Tracking[[#This Row],[Date]])&gt;=shift_late_income_starting_day),DATE(YEAR(Tracking[[#This Row],[Date]]),MONTH(Tracking[[#This Row],[Date]])+1,1),Tracking[[#This Row],[Date]])</f>
        <v>46205</v>
      </c>
    </row>
    <row r="890" spans="3:9" x14ac:dyDescent="0.3">
      <c r="C890" s="41">
        <v>46205</v>
      </c>
      <c r="D890" s="39" t="s">
        <v>9</v>
      </c>
      <c r="E890" s="39" t="s">
        <v>10</v>
      </c>
      <c r="F890" s="139">
        <v>5.4</v>
      </c>
      <c r="G890" s="40" t="s">
        <v>379</v>
      </c>
      <c r="H890" s="43" cm="1">
        <f t="array" ref="H890">SUMPRODUCT(Tracking[Amount],--(Tracking[Date]&lt;=Tracking[[#This Row],[Date]]),(Tracking[Type]&lt;&gt;"Income")*(-1)+(Tracking[Type]="Income"))</f>
        <v>-3501.2699999999982</v>
      </c>
      <c r="I890" s="51">
        <f>IF(AND(Tracking[[#This Row],[Type]]="Income",shift_late_income_status="Active",DAY(Tracking[[#This Row],[Date]])&gt;=shift_late_income_starting_day),DATE(YEAR(Tracking[[#This Row],[Date]]),MONTH(Tracking[[#This Row],[Date]])+1,1),Tracking[[#This Row],[Date]])</f>
        <v>46205</v>
      </c>
    </row>
    <row r="891" spans="3:9" x14ac:dyDescent="0.3">
      <c r="C891" s="41">
        <v>46204</v>
      </c>
      <c r="D891" s="39" t="s">
        <v>9</v>
      </c>
      <c r="E891" s="39" t="s">
        <v>381</v>
      </c>
      <c r="F891" s="139">
        <v>50.08</v>
      </c>
      <c r="G891" s="40" t="s">
        <v>258</v>
      </c>
      <c r="H891" s="43" cm="1">
        <f t="array" ref="H891">SUMPRODUCT(Tracking[Amount],--(Tracking[Date]&lt;=Tracking[[#This Row],[Date]]),(Tracking[Type]&lt;&gt;"Income")*(-1)+(Tracking[Type]="Income"))</f>
        <v>-3485.8699999999981</v>
      </c>
      <c r="I891" s="51">
        <f>IF(AND(Tracking[[#This Row],[Type]]="Income",shift_late_income_status="Active",DAY(Tracking[[#This Row],[Date]])&gt;=shift_late_income_starting_day),DATE(YEAR(Tracking[[#This Row],[Date]]),MONTH(Tracking[[#This Row],[Date]])+1,1),Tracking[[#This Row],[Date]])</f>
        <v>46204</v>
      </c>
    </row>
    <row r="892" spans="3:9" x14ac:dyDescent="0.3">
      <c r="C892" s="41">
        <v>46204</v>
      </c>
      <c r="D892" s="39" t="s">
        <v>9</v>
      </c>
      <c r="E892" s="39" t="s">
        <v>381</v>
      </c>
      <c r="F892" s="139">
        <v>48.7</v>
      </c>
      <c r="G892" s="40" t="s">
        <v>274</v>
      </c>
      <c r="H892" s="43" cm="1">
        <f t="array" ref="H892">SUMPRODUCT(Tracking[Amount],--(Tracking[Date]&lt;=Tracking[[#This Row],[Date]]),(Tracking[Type]&lt;&gt;"Income")*(-1)+(Tracking[Type]="Income"))</f>
        <v>-3485.8699999999981</v>
      </c>
      <c r="I892" s="51">
        <f>IF(AND(Tracking[[#This Row],[Type]]="Income",shift_late_income_status="Active",DAY(Tracking[[#This Row],[Date]])&gt;=shift_late_income_starting_day),DATE(YEAR(Tracking[[#This Row],[Date]]),MONTH(Tracking[[#This Row],[Date]])+1,1),Tracking[[#This Row],[Date]])</f>
        <v>46204</v>
      </c>
    </row>
    <row r="893" spans="3:9" x14ac:dyDescent="0.3">
      <c r="C893" s="41">
        <v>46204</v>
      </c>
      <c r="D893" s="39" t="s">
        <v>9</v>
      </c>
      <c r="E893" s="39" t="s">
        <v>10</v>
      </c>
      <c r="F893" s="139">
        <v>21.78</v>
      </c>
      <c r="G893" s="40" t="s">
        <v>388</v>
      </c>
      <c r="H893" s="43" cm="1">
        <f t="array" ref="H893">SUMPRODUCT(Tracking[Amount],--(Tracking[Date]&lt;=Tracking[[#This Row],[Date]]),(Tracking[Type]&lt;&gt;"Income")*(-1)+(Tracking[Type]="Income"))</f>
        <v>-3485.8699999999981</v>
      </c>
      <c r="I893" s="51">
        <f>IF(AND(Tracking[[#This Row],[Type]]="Income",shift_late_income_status="Active",DAY(Tracking[[#This Row],[Date]])&gt;=shift_late_income_starting_day),DATE(YEAR(Tracking[[#This Row],[Date]]),MONTH(Tracking[[#This Row],[Date]])+1,1),Tracking[[#This Row],[Date]])</f>
        <v>46204</v>
      </c>
    </row>
    <row r="894" spans="3:9" x14ac:dyDescent="0.3">
      <c r="C894" s="41">
        <v>46204</v>
      </c>
      <c r="D894" s="39" t="s">
        <v>9</v>
      </c>
      <c r="E894" s="39" t="s">
        <v>10</v>
      </c>
      <c r="F894" s="139">
        <v>5.4</v>
      </c>
      <c r="G894" s="40" t="s">
        <v>379</v>
      </c>
      <c r="H894" s="43" cm="1">
        <f t="array" ref="H894">SUMPRODUCT(Tracking[Amount],--(Tracking[Date]&lt;=Tracking[[#This Row],[Date]]),(Tracking[Type]&lt;&gt;"Income")*(-1)+(Tracking[Type]="Income"))</f>
        <v>-3485.8699999999981</v>
      </c>
      <c r="I894" s="51">
        <f>IF(AND(Tracking[[#This Row],[Type]]="Income",shift_late_income_status="Active",DAY(Tracking[[#This Row],[Date]])&gt;=shift_late_income_starting_day),DATE(YEAR(Tracking[[#This Row],[Date]]),MONTH(Tracking[[#This Row],[Date]])+1,1),Tracking[[#This Row],[Date]])</f>
        <v>46204</v>
      </c>
    </row>
    <row r="895" spans="3:9" x14ac:dyDescent="0.3">
      <c r="C895" s="41">
        <v>46203</v>
      </c>
      <c r="D895" s="39" t="s">
        <v>9</v>
      </c>
      <c r="E895" s="39" t="s">
        <v>381</v>
      </c>
      <c r="F895" s="139">
        <v>50.08</v>
      </c>
      <c r="G895" s="40" t="s">
        <v>258</v>
      </c>
      <c r="H895" s="43" cm="1">
        <f t="array" ref="H895">SUMPRODUCT(Tracking[Amount],--(Tracking[Date]&lt;=Tracking[[#This Row],[Date]]),(Tracking[Type]&lt;&gt;"Income")*(-1)+(Tracking[Type]="Income"))</f>
        <v>-3359.909999999998</v>
      </c>
      <c r="I895" s="51">
        <f>IF(AND(Tracking[[#This Row],[Type]]="Income",shift_late_income_status="Active",DAY(Tracking[[#This Row],[Date]])&gt;=shift_late_income_starting_day),DATE(YEAR(Tracking[[#This Row],[Date]]),MONTH(Tracking[[#This Row],[Date]])+1,1),Tracking[[#This Row],[Date]])</f>
        <v>46203</v>
      </c>
    </row>
    <row r="896" spans="3:9" x14ac:dyDescent="0.3">
      <c r="C896" s="41">
        <v>46202</v>
      </c>
      <c r="D896" s="39" t="s">
        <v>9</v>
      </c>
      <c r="E896" s="39" t="s">
        <v>381</v>
      </c>
      <c r="F896" s="139">
        <v>88.79</v>
      </c>
      <c r="G896" s="40" t="s">
        <v>258</v>
      </c>
      <c r="H896" s="43" cm="1">
        <f t="array" ref="H896">SUMPRODUCT(Tracking[Amount],--(Tracking[Date]&lt;=Tracking[[#This Row],[Date]]),(Tracking[Type]&lt;&gt;"Income")*(-1)+(Tracking[Type]="Income"))</f>
        <v>-3309.8299999999981</v>
      </c>
      <c r="I896" s="51">
        <f>IF(AND(Tracking[[#This Row],[Type]]="Income",shift_late_income_status="Active",DAY(Tracking[[#This Row],[Date]])&gt;=shift_late_income_starting_day),DATE(YEAR(Tracking[[#This Row],[Date]]),MONTH(Tracking[[#This Row],[Date]])+1,1),Tracking[[#This Row],[Date]])</f>
        <v>46202</v>
      </c>
    </row>
    <row r="897" spans="3:9" x14ac:dyDescent="0.3">
      <c r="C897" s="41">
        <v>46202</v>
      </c>
      <c r="D897" s="39" t="s">
        <v>9</v>
      </c>
      <c r="E897" s="39" t="s">
        <v>381</v>
      </c>
      <c r="F897" s="139">
        <v>41.19</v>
      </c>
      <c r="G897" s="40" t="s">
        <v>274</v>
      </c>
      <c r="H897" s="43" cm="1">
        <f t="array" ref="H897">SUMPRODUCT(Tracking[Amount],--(Tracking[Date]&lt;=Tracking[[#This Row],[Date]]),(Tracking[Type]&lt;&gt;"Income")*(-1)+(Tracking[Type]="Income"))</f>
        <v>-3309.8299999999981</v>
      </c>
      <c r="I897" s="51">
        <f>IF(AND(Tracking[[#This Row],[Type]]="Income",shift_late_income_status="Active",DAY(Tracking[[#This Row],[Date]])&gt;=shift_late_income_starting_day),DATE(YEAR(Tracking[[#This Row],[Date]]),MONTH(Tracking[[#This Row],[Date]])+1,1),Tracking[[#This Row],[Date]])</f>
        <v>46202</v>
      </c>
    </row>
    <row r="898" spans="3:9" x14ac:dyDescent="0.3">
      <c r="C898" s="41">
        <v>46202</v>
      </c>
      <c r="D898" s="39" t="s">
        <v>9</v>
      </c>
      <c r="E898" s="39" t="s">
        <v>318</v>
      </c>
      <c r="F898" s="139">
        <v>32.229999999999997</v>
      </c>
      <c r="G898" s="40" t="s">
        <v>398</v>
      </c>
      <c r="H898" s="43" cm="1">
        <f t="array" ref="H898">SUMPRODUCT(Tracking[Amount],--(Tracking[Date]&lt;=Tracking[[#This Row],[Date]]),(Tracking[Type]&lt;&gt;"Income")*(-1)+(Tracking[Type]="Income"))</f>
        <v>-3309.8299999999981</v>
      </c>
      <c r="I898" s="51">
        <f>IF(AND(Tracking[[#This Row],[Type]]="Income",shift_late_income_status="Active",DAY(Tracking[[#This Row],[Date]])&gt;=shift_late_income_starting_day),DATE(YEAR(Tracking[[#This Row],[Date]]),MONTH(Tracking[[#This Row],[Date]])+1,1),Tracking[[#This Row],[Date]])</f>
        <v>46202</v>
      </c>
    </row>
    <row r="899" spans="3:9" x14ac:dyDescent="0.3">
      <c r="C899" s="41">
        <v>46202</v>
      </c>
      <c r="D899" s="39" t="s">
        <v>9</v>
      </c>
      <c r="E899" s="39" t="s">
        <v>11</v>
      </c>
      <c r="F899" s="139">
        <v>28.42</v>
      </c>
      <c r="G899" s="40" t="s">
        <v>423</v>
      </c>
      <c r="H899" s="43" cm="1">
        <f t="array" ref="H899">SUMPRODUCT(Tracking[Amount],--(Tracking[Date]&lt;=Tracking[[#This Row],[Date]]),(Tracking[Type]&lt;&gt;"Income")*(-1)+(Tracking[Type]="Income"))</f>
        <v>-3309.8299999999981</v>
      </c>
      <c r="I899" s="51">
        <f>IF(AND(Tracking[[#This Row],[Type]]="Income",shift_late_income_status="Active",DAY(Tracking[[#This Row],[Date]])&gt;=shift_late_income_starting_day),DATE(YEAR(Tracking[[#This Row],[Date]]),MONTH(Tracking[[#This Row],[Date]])+1,1),Tracking[[#This Row],[Date]])</f>
        <v>46202</v>
      </c>
    </row>
    <row r="900" spans="3:9" x14ac:dyDescent="0.3">
      <c r="C900" s="41">
        <v>46202</v>
      </c>
      <c r="D900" s="39" t="s">
        <v>9</v>
      </c>
      <c r="E900" s="39" t="s">
        <v>10</v>
      </c>
      <c r="F900" s="139">
        <v>27.12</v>
      </c>
      <c r="G900" s="40" t="s">
        <v>304</v>
      </c>
      <c r="H900" s="43" cm="1">
        <f t="array" ref="H900">SUMPRODUCT(Tracking[Amount],--(Tracking[Date]&lt;=Tracking[[#This Row],[Date]]),(Tracking[Type]&lt;&gt;"Income")*(-1)+(Tracking[Type]="Income"))</f>
        <v>-3309.8299999999981</v>
      </c>
      <c r="I900" s="51">
        <f>IF(AND(Tracking[[#This Row],[Type]]="Income",shift_late_income_status="Active",DAY(Tracking[[#This Row],[Date]])&gt;=shift_late_income_starting_day),DATE(YEAR(Tracking[[#This Row],[Date]]),MONTH(Tracking[[#This Row],[Date]])+1,1),Tracking[[#This Row],[Date]])</f>
        <v>46202</v>
      </c>
    </row>
    <row r="901" spans="3:9" x14ac:dyDescent="0.3">
      <c r="C901" s="41">
        <v>46202</v>
      </c>
      <c r="D901" s="39" t="s">
        <v>9</v>
      </c>
      <c r="E901" s="39" t="s">
        <v>10</v>
      </c>
      <c r="F901" s="139">
        <v>26.95</v>
      </c>
      <c r="G901" s="40" t="s">
        <v>177</v>
      </c>
      <c r="H901" s="43" cm="1">
        <f t="array" ref="H901">SUMPRODUCT(Tracking[Amount],--(Tracking[Date]&lt;=Tracking[[#This Row],[Date]]),(Tracking[Type]&lt;&gt;"Income")*(-1)+(Tracking[Type]="Income"))</f>
        <v>-3309.8299999999981</v>
      </c>
      <c r="I901" s="51">
        <f>IF(AND(Tracking[[#This Row],[Type]]="Income",shift_late_income_status="Active",DAY(Tracking[[#This Row],[Date]])&gt;=shift_late_income_starting_day),DATE(YEAR(Tracking[[#This Row],[Date]]),MONTH(Tracking[[#This Row],[Date]])+1,1),Tracking[[#This Row],[Date]])</f>
        <v>46202</v>
      </c>
    </row>
    <row r="902" spans="3:9" x14ac:dyDescent="0.3">
      <c r="C902" s="41">
        <v>46202</v>
      </c>
      <c r="D902" s="39" t="s">
        <v>9</v>
      </c>
      <c r="E902" s="39" t="s">
        <v>11</v>
      </c>
      <c r="F902" s="139">
        <v>22.73</v>
      </c>
      <c r="G902" s="40" t="s">
        <v>399</v>
      </c>
      <c r="H902" s="43" cm="1">
        <f t="array" ref="H902">SUMPRODUCT(Tracking[Amount],--(Tracking[Date]&lt;=Tracking[[#This Row],[Date]]),(Tracking[Type]&lt;&gt;"Income")*(-1)+(Tracking[Type]="Income"))</f>
        <v>-3309.8299999999981</v>
      </c>
      <c r="I902" s="51">
        <f>IF(AND(Tracking[[#This Row],[Type]]="Income",shift_late_income_status="Active",DAY(Tracking[[#This Row],[Date]])&gt;=shift_late_income_starting_day),DATE(YEAR(Tracking[[#This Row],[Date]]),MONTH(Tracking[[#This Row],[Date]])+1,1),Tracking[[#This Row],[Date]])</f>
        <v>46202</v>
      </c>
    </row>
    <row r="903" spans="3:9" x14ac:dyDescent="0.3">
      <c r="C903" s="41">
        <v>46202</v>
      </c>
      <c r="D903" s="39" t="s">
        <v>9</v>
      </c>
      <c r="E903" s="39" t="s">
        <v>318</v>
      </c>
      <c r="F903" s="139">
        <v>22</v>
      </c>
      <c r="G903" s="40" t="s">
        <v>422</v>
      </c>
      <c r="H903" s="43" cm="1">
        <f t="array" ref="H903">SUMPRODUCT(Tracking[Amount],--(Tracking[Date]&lt;=Tracking[[#This Row],[Date]]),(Tracking[Type]&lt;&gt;"Income")*(-1)+(Tracking[Type]="Income"))</f>
        <v>-3309.8299999999981</v>
      </c>
      <c r="I903" s="51">
        <f>IF(AND(Tracking[[#This Row],[Type]]="Income",shift_late_income_status="Active",DAY(Tracking[[#This Row],[Date]])&gt;=shift_late_income_starting_day),DATE(YEAR(Tracking[[#This Row],[Date]]),MONTH(Tracking[[#This Row],[Date]])+1,1),Tracking[[#This Row],[Date]])</f>
        <v>46202</v>
      </c>
    </row>
    <row r="904" spans="3:9" x14ac:dyDescent="0.3">
      <c r="C904" s="41">
        <v>46202</v>
      </c>
      <c r="D904" s="39" t="s">
        <v>9</v>
      </c>
      <c r="E904" s="39" t="s">
        <v>318</v>
      </c>
      <c r="F904" s="139">
        <v>21.65</v>
      </c>
      <c r="G904" s="40" t="s">
        <v>398</v>
      </c>
      <c r="H904" s="43" cm="1">
        <f t="array" ref="H904">SUMPRODUCT(Tracking[Amount],--(Tracking[Date]&lt;=Tracking[[#This Row],[Date]]),(Tracking[Type]&lt;&gt;"Income")*(-1)+(Tracking[Type]="Income"))</f>
        <v>-3309.8299999999981</v>
      </c>
      <c r="I904" s="51">
        <f>IF(AND(Tracking[[#This Row],[Type]]="Income",shift_late_income_status="Active",DAY(Tracking[[#This Row],[Date]])&gt;=shift_late_income_starting_day),DATE(YEAR(Tracking[[#This Row],[Date]]),MONTH(Tracking[[#This Row],[Date]])+1,1),Tracking[[#This Row],[Date]])</f>
        <v>46202</v>
      </c>
    </row>
    <row r="905" spans="3:9" x14ac:dyDescent="0.3">
      <c r="C905" s="41">
        <v>46202</v>
      </c>
      <c r="D905" s="39" t="s">
        <v>9</v>
      </c>
      <c r="E905" s="39" t="s">
        <v>12</v>
      </c>
      <c r="F905" s="139">
        <v>21.32</v>
      </c>
      <c r="G905" s="40" t="s">
        <v>390</v>
      </c>
      <c r="H905" s="43" cm="1">
        <f t="array" ref="H905">SUMPRODUCT(Tracking[Amount],--(Tracking[Date]&lt;=Tracking[[#This Row],[Date]]),(Tracking[Type]&lt;&gt;"Income")*(-1)+(Tracking[Type]="Income"))</f>
        <v>-3309.8299999999981</v>
      </c>
      <c r="I905" s="51">
        <f>IF(AND(Tracking[[#This Row],[Type]]="Income",shift_late_income_status="Active",DAY(Tracking[[#This Row],[Date]])&gt;=shift_late_income_starting_day),DATE(YEAR(Tracking[[#This Row],[Date]]),MONTH(Tracking[[#This Row],[Date]])+1,1),Tracking[[#This Row],[Date]])</f>
        <v>46202</v>
      </c>
    </row>
    <row r="906" spans="3:9" x14ac:dyDescent="0.3">
      <c r="C906" s="41">
        <v>46202</v>
      </c>
      <c r="D906" s="39" t="s">
        <v>9</v>
      </c>
      <c r="E906" s="39" t="s">
        <v>10</v>
      </c>
      <c r="F906" s="139">
        <v>17.75</v>
      </c>
      <c r="G906" s="40" t="s">
        <v>304</v>
      </c>
      <c r="H906" s="43" cm="1">
        <f t="array" ref="H906">SUMPRODUCT(Tracking[Amount],--(Tracking[Date]&lt;=Tracking[[#This Row],[Date]]),(Tracking[Type]&lt;&gt;"Income")*(-1)+(Tracking[Type]="Income"))</f>
        <v>-3309.8299999999981</v>
      </c>
      <c r="I906" s="51">
        <f>IF(AND(Tracking[[#This Row],[Type]]="Income",shift_late_income_status="Active",DAY(Tracking[[#This Row],[Date]])&gt;=shift_late_income_starting_day),DATE(YEAR(Tracking[[#This Row],[Date]]),MONTH(Tracking[[#This Row],[Date]])+1,1),Tracking[[#This Row],[Date]])</f>
        <v>46202</v>
      </c>
    </row>
    <row r="907" spans="3:9" x14ac:dyDescent="0.3">
      <c r="C907" s="41">
        <v>46202</v>
      </c>
      <c r="D907" s="39" t="s">
        <v>9</v>
      </c>
      <c r="E907" s="39" t="s">
        <v>10</v>
      </c>
      <c r="F907" s="139">
        <v>14.53</v>
      </c>
      <c r="G907" s="40" t="s">
        <v>177</v>
      </c>
      <c r="H907" s="43" cm="1">
        <f t="array" ref="H907">SUMPRODUCT(Tracking[Amount],--(Tracking[Date]&lt;=Tracking[[#This Row],[Date]]),(Tracking[Type]&lt;&gt;"Income")*(-1)+(Tracking[Type]="Income"))</f>
        <v>-3309.8299999999981</v>
      </c>
      <c r="I907" s="51">
        <f>IF(AND(Tracking[[#This Row],[Type]]="Income",shift_late_income_status="Active",DAY(Tracking[[#This Row],[Date]])&gt;=shift_late_income_starting_day),DATE(YEAR(Tracking[[#This Row],[Date]]),MONTH(Tracking[[#This Row],[Date]])+1,1),Tracking[[#This Row],[Date]])</f>
        <v>46202</v>
      </c>
    </row>
    <row r="908" spans="3:9" x14ac:dyDescent="0.3">
      <c r="C908" s="41">
        <v>46202</v>
      </c>
      <c r="D908" s="39" t="s">
        <v>9</v>
      </c>
      <c r="E908" s="39" t="s">
        <v>11</v>
      </c>
      <c r="F908" s="139">
        <v>14.48</v>
      </c>
      <c r="G908" s="40" t="s">
        <v>424</v>
      </c>
      <c r="H908" s="43" cm="1">
        <f t="array" ref="H908">SUMPRODUCT(Tracking[Amount],--(Tracking[Date]&lt;=Tracking[[#This Row],[Date]]),(Tracking[Type]&lt;&gt;"Income")*(-1)+(Tracking[Type]="Income"))</f>
        <v>-3309.8299999999981</v>
      </c>
      <c r="I908" s="51">
        <f>IF(AND(Tracking[[#This Row],[Type]]="Income",shift_late_income_status="Active",DAY(Tracking[[#This Row],[Date]])&gt;=shift_late_income_starting_day),DATE(YEAR(Tracking[[#This Row],[Date]]),MONTH(Tracking[[#This Row],[Date]])+1,1),Tracking[[#This Row],[Date]])</f>
        <v>46202</v>
      </c>
    </row>
    <row r="909" spans="3:9" x14ac:dyDescent="0.3">
      <c r="C909" s="41">
        <v>46202</v>
      </c>
      <c r="D909" s="39" t="s">
        <v>9</v>
      </c>
      <c r="E909" s="39" t="s">
        <v>318</v>
      </c>
      <c r="F909" s="139">
        <v>9.74</v>
      </c>
      <c r="G909" s="40" t="s">
        <v>407</v>
      </c>
      <c r="H909" s="43" cm="1">
        <f t="array" ref="H909">SUMPRODUCT(Tracking[Amount],--(Tracking[Date]&lt;=Tracking[[#This Row],[Date]]),(Tracking[Type]&lt;&gt;"Income")*(-1)+(Tracking[Type]="Income"))</f>
        <v>-3309.8299999999981</v>
      </c>
      <c r="I909" s="51">
        <f>IF(AND(Tracking[[#This Row],[Type]]="Income",shift_late_income_status="Active",DAY(Tracking[[#This Row],[Date]])&gt;=shift_late_income_starting_day),DATE(YEAR(Tracking[[#This Row],[Date]]),MONTH(Tracking[[#This Row],[Date]])+1,1),Tracking[[#This Row],[Date]])</f>
        <v>46202</v>
      </c>
    </row>
    <row r="910" spans="3:9" x14ac:dyDescent="0.3">
      <c r="C910" s="41">
        <v>46202</v>
      </c>
      <c r="D910" s="39" t="s">
        <v>9</v>
      </c>
      <c r="E910" s="39" t="s">
        <v>381</v>
      </c>
      <c r="F910" s="139">
        <v>9.7200000000000006</v>
      </c>
      <c r="G910" s="40" t="s">
        <v>274</v>
      </c>
      <c r="H910" s="43" cm="1">
        <f t="array" ref="H910">SUMPRODUCT(Tracking[Amount],--(Tracking[Date]&lt;=Tracking[[#This Row],[Date]]),(Tracking[Type]&lt;&gt;"Income")*(-1)+(Tracking[Type]="Income"))</f>
        <v>-3309.8299999999981</v>
      </c>
      <c r="I910" s="51">
        <f>IF(AND(Tracking[[#This Row],[Type]]="Income",shift_late_income_status="Active",DAY(Tracking[[#This Row],[Date]])&gt;=shift_late_income_starting_day),DATE(YEAR(Tracking[[#This Row],[Date]]),MONTH(Tracking[[#This Row],[Date]])+1,1),Tracking[[#This Row],[Date]])</f>
        <v>46202</v>
      </c>
    </row>
    <row r="911" spans="3:9" x14ac:dyDescent="0.3">
      <c r="C911" s="41">
        <v>46202</v>
      </c>
      <c r="D911" s="39" t="s">
        <v>9</v>
      </c>
      <c r="E911" s="39" t="s">
        <v>10</v>
      </c>
      <c r="F911" s="139">
        <v>8.27</v>
      </c>
      <c r="G911" s="40" t="s">
        <v>379</v>
      </c>
      <c r="H911" s="43" cm="1">
        <f t="array" ref="H911">SUMPRODUCT(Tracking[Amount],--(Tracking[Date]&lt;=Tracking[[#This Row],[Date]]),(Tracking[Type]&lt;&gt;"Income")*(-1)+(Tracking[Type]="Income"))</f>
        <v>-3309.8299999999981</v>
      </c>
      <c r="I911" s="51">
        <f>IF(AND(Tracking[[#This Row],[Type]]="Income",shift_late_income_status="Active",DAY(Tracking[[#This Row],[Date]])&gt;=shift_late_income_starting_day),DATE(YEAR(Tracking[[#This Row],[Date]]),MONTH(Tracking[[#This Row],[Date]])+1,1),Tracking[[#This Row],[Date]])</f>
        <v>46202</v>
      </c>
    </row>
  </sheetData>
  <conditionalFormatting sqref="E12:E331">
    <cfRule type="expression" dxfId="27" priority="4">
      <formula>ISNA(MATCH(E12, INDIRECT(D12), 0))</formula>
    </cfRule>
  </conditionalFormatting>
  <conditionalFormatting sqref="F12:F911">
    <cfRule type="expression" dxfId="26" priority="3">
      <formula>D12="Income"</formula>
    </cfRule>
  </conditionalFormatting>
  <conditionalFormatting sqref="I12:I911">
    <cfRule type="expression" dxfId="25" priority="1">
      <formula>AND(D12="Income",shift_late_income_status="Active",DAY(C12)&gt;=shift_late_income_starting_day)</formula>
    </cfRule>
  </conditionalFormatting>
  <dataValidations count="4">
    <dataValidation type="date" operator="greaterThan" allowBlank="1" showInputMessage="1" showErrorMessage="1" errorTitle="Invalid Date" error="Please enter a valid date." sqref="C12:C911" xr:uid="{A38AC83A-95CA-422A-AFD4-1D34493113E6}">
      <formula1>1</formula1>
    </dataValidation>
    <dataValidation type="list" allowBlank="1" showInputMessage="1" showErrorMessage="1" errorTitle="Invalid Type" error="Please select a valid type from the dropdown list." sqref="D12:D911" xr:uid="{FB2F1828-E346-4D36-9AD5-15CAB2FDA3CA}">
      <formula1>"Income, Expenses, Savings"</formula1>
    </dataValidation>
    <dataValidation type="list" allowBlank="1" showInputMessage="1" showErrorMessage="1" errorTitle="Invalid Category" error="Please select a valid category from the dropdown list." sqref="E12:E911" xr:uid="{C9B58CD9-6B1B-4151-8CB0-2F001985415F}">
      <formula1>INDIRECT(D12)</formula1>
    </dataValidation>
    <dataValidation type="custom" allowBlank="1" showInputMessage="1" showErrorMessage="1" errorTitle="Invalid Amount" error="Please enter a valid number." sqref="F12:F911" xr:uid="{B569AA89-F5E7-41D0-A5D1-54B6F47D31E5}">
      <formula1>ISNUMBER(F12)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0FDD-FF44-4FA9-8CE2-5E81C39452C1}">
  <sheetPr>
    <tabColor rgb="FF00B050"/>
  </sheetPr>
  <dimension ref="C1:AR54"/>
  <sheetViews>
    <sheetView showGridLines="0" zoomScale="80" zoomScaleNormal="80" workbookViewId="0">
      <pane ySplit="3" topLeftCell="A4" activePane="bottomLeft" state="frozen"/>
      <selection pane="bottomLeft" activeCell="AQ9" sqref="AQ9:AR9"/>
    </sheetView>
  </sheetViews>
  <sheetFormatPr defaultColWidth="9.109375" defaultRowHeight="14.4" x14ac:dyDescent="0.3"/>
  <cols>
    <col min="1" max="2" width="1.33203125" style="1" customWidth="1"/>
    <col min="3" max="3" width="9.109375" style="1" hidden="1" customWidth="1"/>
    <col min="4" max="4" width="11.109375" style="1" hidden="1" customWidth="1"/>
    <col min="5" max="9" width="9.109375" style="1" hidden="1" customWidth="1"/>
    <col min="10" max="10" width="27.44140625" style="1" hidden="1" customWidth="1"/>
    <col min="11" max="12" width="9.109375" style="1" hidden="1" customWidth="1"/>
    <col min="13" max="13" width="10.6640625" style="1" hidden="1" customWidth="1"/>
    <col min="14" max="14" width="11.33203125" style="1" hidden="1" customWidth="1"/>
    <col min="15" max="15" width="11.88671875" style="1" hidden="1" customWidth="1"/>
    <col min="16" max="16" width="10.6640625" style="1" hidden="1" customWidth="1"/>
    <col min="17" max="17" width="11.5546875" style="1" hidden="1" customWidth="1"/>
    <col min="18" max="18" width="10.44140625" style="1" hidden="1" customWidth="1"/>
    <col min="19" max="20" width="14.88671875" style="1" hidden="1" customWidth="1"/>
    <col min="21" max="21" width="18.109375" style="1" hidden="1" customWidth="1"/>
    <col min="22" max="22" width="22.88671875" style="1" hidden="1" customWidth="1"/>
    <col min="23" max="23" width="14.88671875" style="1" hidden="1" customWidth="1"/>
    <col min="24" max="24" width="7.5546875" style="1" hidden="1" customWidth="1"/>
    <col min="25" max="25" width="29.33203125" style="1" customWidth="1"/>
    <col min="26" max="26" width="9.109375" style="134" customWidth="1"/>
    <col min="27" max="27" width="13.5546875" style="134" customWidth="1"/>
    <col min="28" max="28" width="10.109375" style="73" customWidth="1"/>
    <col min="29" max="30" width="10.5546875" style="134" customWidth="1"/>
    <col min="31" max="31" width="8" style="1" customWidth="1"/>
    <col min="32" max="33" width="15.6640625" style="1" customWidth="1"/>
    <col min="34" max="34" width="2.5546875" style="1" customWidth="1"/>
    <col min="35" max="35" width="18.33203125" style="1" bestFit="1" customWidth="1"/>
    <col min="36" max="36" width="15.6640625" style="126" customWidth="1"/>
    <col min="37" max="37" width="7" style="1" customWidth="1"/>
    <col min="38" max="38" width="3.109375" style="1" customWidth="1"/>
    <col min="39" max="40" width="15.6640625" style="1" customWidth="1"/>
    <col min="41" max="41" width="2.5546875" style="1" customWidth="1"/>
    <col min="42" max="42" width="18.33203125" style="1" customWidth="1"/>
    <col min="43" max="43" width="15.6640625" style="126" customWidth="1"/>
    <col min="44" max="44" width="7" style="1" customWidth="1"/>
    <col min="45" max="16384" width="9.109375" style="1"/>
  </cols>
  <sheetData>
    <row r="1" spans="3:44" s="2" customFormat="1" ht="12.75" customHeight="1" x14ac:dyDescent="0.3">
      <c r="C1" s="3"/>
      <c r="Z1" s="132"/>
      <c r="AA1" s="132"/>
      <c r="AB1" s="71"/>
      <c r="AC1" s="132"/>
      <c r="AD1" s="132"/>
      <c r="AJ1" s="124"/>
      <c r="AQ1" s="124"/>
    </row>
    <row r="2" spans="3:44" s="2" customFormat="1" ht="33.6" x14ac:dyDescent="0.3">
      <c r="C2" s="5" t="s">
        <v>39</v>
      </c>
      <c r="Y2" s="5" t="s">
        <v>39</v>
      </c>
      <c r="Z2" s="132"/>
      <c r="AA2" s="132"/>
      <c r="AB2" s="71"/>
      <c r="AC2" s="132"/>
      <c r="AD2" s="132"/>
      <c r="AJ2" s="124"/>
      <c r="AQ2" s="124"/>
    </row>
    <row r="3" spans="3:44" s="4" customFormat="1" ht="12.75" customHeight="1" x14ac:dyDescent="0.3">
      <c r="Z3" s="133"/>
      <c r="AA3" s="133"/>
      <c r="AB3" s="72"/>
      <c r="AC3" s="133"/>
      <c r="AD3" s="133"/>
      <c r="AJ3" s="125"/>
      <c r="AQ3" s="125"/>
    </row>
    <row r="4" spans="3:44" ht="6.75" customHeight="1" x14ac:dyDescent="0.3"/>
    <row r="5" spans="3:44" x14ac:dyDescent="0.3">
      <c r="AQ5" s="178" t="s">
        <v>40</v>
      </c>
      <c r="AR5" s="179"/>
    </row>
    <row r="6" spans="3:44" x14ac:dyDescent="0.3">
      <c r="C6" s="18"/>
      <c r="D6" s="175"/>
      <c r="E6" s="175"/>
      <c r="F6" s="175"/>
      <c r="G6" s="175"/>
      <c r="H6" s="18"/>
      <c r="AN6" s="181" t="s">
        <v>41</v>
      </c>
      <c r="AO6" s="181"/>
      <c r="AP6" s="181"/>
      <c r="AQ6" s="180" t="s">
        <v>46</v>
      </c>
      <c r="AR6" s="180"/>
    </row>
    <row r="7" spans="3:44" x14ac:dyDescent="0.3">
      <c r="D7" s="15"/>
      <c r="E7" s="15"/>
      <c r="F7" s="15"/>
      <c r="G7" s="15"/>
    </row>
    <row r="8" spans="3:44" x14ac:dyDescent="0.3">
      <c r="D8" s="16"/>
      <c r="E8" s="17"/>
      <c r="F8" s="15"/>
      <c r="G8" s="15"/>
      <c r="AN8" s="143"/>
      <c r="AO8" s="143"/>
      <c r="AP8" s="143"/>
      <c r="AQ8" s="178" t="s">
        <v>42</v>
      </c>
      <c r="AR8" s="179"/>
    </row>
    <row r="9" spans="3:44" x14ac:dyDescent="0.3">
      <c r="D9" s="15"/>
      <c r="E9" s="15"/>
      <c r="F9" s="15"/>
      <c r="G9" s="15"/>
      <c r="AB9" s="105"/>
      <c r="AN9" s="181" t="s">
        <v>43</v>
      </c>
      <c r="AO9" s="181"/>
      <c r="AP9" s="181"/>
      <c r="AQ9" s="182" t="s">
        <v>49</v>
      </c>
      <c r="AR9" s="182"/>
    </row>
    <row r="10" spans="3:44" ht="6.75" customHeight="1" x14ac:dyDescent="0.3"/>
    <row r="11" spans="3:44" x14ac:dyDescent="0.3">
      <c r="C11" s="4"/>
      <c r="D11" s="4"/>
      <c r="E11" s="4"/>
      <c r="F11" s="4"/>
      <c r="G11" s="4"/>
      <c r="H11" s="4"/>
      <c r="I11" s="4"/>
      <c r="J11" s="4"/>
      <c r="K11" s="4"/>
      <c r="L11" s="4"/>
      <c r="M11" s="4"/>
      <c r="N11" s="4"/>
      <c r="O11" s="4"/>
      <c r="P11" s="4"/>
      <c r="Q11" s="4"/>
      <c r="R11" s="4"/>
      <c r="S11" s="4"/>
      <c r="T11" s="4"/>
      <c r="U11" s="4"/>
      <c r="V11" s="4"/>
      <c r="W11" s="4"/>
      <c r="X11" s="4"/>
      <c r="Y11" s="176" t="str">
        <f ca="1">"Breakdown - " &amp; IF(selected_period= "Total Year", selected_year &amp; " (Total Year)", selected_period_display &amp; " " &amp; selected_year)</f>
        <v>Breakdown - July 2026</v>
      </c>
      <c r="Z11" s="176"/>
      <c r="AA11" s="176"/>
      <c r="AB11" s="176"/>
      <c r="AC11" s="176"/>
      <c r="AD11" s="176"/>
      <c r="AF11" s="177" t="str">
        <f ca="1">"Summary - " &amp; IF(selected_period= "Total Year", selected_year &amp; " (Total Year)", selected_period_display &amp; " " &amp; selected_year)</f>
        <v>Summary - July 2026</v>
      </c>
      <c r="AG11" s="177"/>
      <c r="AH11" s="177"/>
      <c r="AI11" s="177"/>
      <c r="AJ11" s="177"/>
      <c r="AK11" s="177"/>
      <c r="AL11" s="177"/>
      <c r="AM11" s="177"/>
      <c r="AN11" s="177"/>
      <c r="AO11" s="177"/>
      <c r="AP11" s="177"/>
      <c r="AQ11" s="177"/>
      <c r="AR11" s="177"/>
    </row>
    <row r="12" spans="3:44" x14ac:dyDescent="0.3">
      <c r="C12" s="62" t="s">
        <v>53</v>
      </c>
      <c r="D12" s="63" t="s">
        <v>54</v>
      </c>
      <c r="E12" s="62" t="s">
        <v>55</v>
      </c>
      <c r="F12" s="61" t="s">
        <v>56</v>
      </c>
      <c r="G12" s="61" t="s">
        <v>62</v>
      </c>
      <c r="H12" s="63" t="s">
        <v>57</v>
      </c>
      <c r="I12" s="62" t="s">
        <v>58</v>
      </c>
      <c r="J12" s="61" t="s">
        <v>59</v>
      </c>
      <c r="K12" s="61" t="s">
        <v>60</v>
      </c>
      <c r="L12" s="63" t="s">
        <v>61</v>
      </c>
      <c r="M12" s="62" t="s">
        <v>63</v>
      </c>
      <c r="N12" s="63" t="s">
        <v>64</v>
      </c>
      <c r="O12" s="62" t="s">
        <v>65</v>
      </c>
      <c r="P12" s="61" t="s">
        <v>66</v>
      </c>
      <c r="Q12" s="61" t="s">
        <v>67</v>
      </c>
      <c r="R12" s="63" t="s">
        <v>68</v>
      </c>
      <c r="S12" s="62" t="s">
        <v>69</v>
      </c>
      <c r="T12" s="61" t="s">
        <v>70</v>
      </c>
      <c r="U12" s="61" t="s">
        <v>71</v>
      </c>
      <c r="V12" s="61" t="s">
        <v>72</v>
      </c>
      <c r="W12" s="63" t="s">
        <v>73</v>
      </c>
      <c r="X12" s="69" t="s">
        <v>74</v>
      </c>
    </row>
    <row r="13" spans="3:44" x14ac:dyDescent="0.3">
      <c r="C13" s="46" cm="1">
        <f t="array" ref="C13">income_header_row</f>
        <v>9</v>
      </c>
      <c r="D13" s="47">
        <f t="shared" ref="D13:D50" si="0">IF(is_header,row_id,
   IF(NOT(is_empty),D12,-1))</f>
        <v>9</v>
      </c>
      <c r="E13" s="46" cm="1">
        <f t="array" ref="E13">1*OR(row_id=income_header_row,row_id=expenses_header_row,row_id=savings_header_row)</f>
        <v>1</v>
      </c>
      <c r="F13" s="1">
        <f t="shared" ref="F13:F50" si="1">1*NOT(OR(is_header,is_total,is_empty))</f>
        <v>0</v>
      </c>
      <c r="G13" s="1" cm="1">
        <f t="array" ref="G13">1*OR(row_id=income_total_row,row_id=expenses_total_row,row_id=savings_total_row)</f>
        <v>0</v>
      </c>
      <c r="H13" s="47">
        <f t="shared" ref="H13:H50" si="2">1*OR(row_id="/1",row_id="/2",row_id=-1)</f>
        <v>0</v>
      </c>
      <c r="I13" s="46" t="str" cm="1">
        <f t="array" ref="I13">IFERROR(INDEX('Budget Planning'!C:C,header_row_id),"")</f>
        <v>Income</v>
      </c>
      <c r="J13" s="1" t="str" cm="1">
        <f t="array" ref="J13">IFERROR(INDEX('Budget Planning'!C:C,row_id),"")</f>
        <v>Income</v>
      </c>
      <c r="K13" s="64" t="str" cm="1">
        <f t="array" ref="K13">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3" s="68" t="str" cm="1">
        <f t="array" ref="L13">IF(OR(is_header,is_empty),"",
  INDEX('Budget Planning'!$E:$CI,row_id,
      MATCH(IF(selected_period="Total Year",selected_year,DATE(selected_year,selected_period,1)),'Budget Planning'!$E$9:$CI$9,0)))</f>
        <v/>
      </c>
      <c r="M13" s="46" t="str" cm="1">
        <f t="array" ref="M13">IF(is_category,
  IF(header_row_id=income_header_row,MATCH(income_min_row, $C:$C,0),
  IF(header_row_id=expenses_header_row,MATCH(expenses_min_row, $C:$C,0),
  IF(header_row_id=savings_header_row,MATCH(savings_min_row, $C:$C,0),""))),"")</f>
        <v/>
      </c>
      <c r="N13" s="47" t="str" cm="1">
        <f t="array" ref="N13">IF(is_category,
  IF(header_row_id=income_header_row,MATCH(income_max_row, $C:$C,0),
  IF(header_row_id=expenses_header_row,MATCH(expenses_max_row, $C:$C,0),
  IF(header_row_id=savings_header_row,MATCH(savings_max_row, $C:$C,0),""))),
 "")</f>
        <v/>
      </c>
      <c r="O13" s="46" t="str">
        <f t="shared" ref="O13:O50" si="3">IF(is_category, ADDRESS(sort_min_row,COLUMN(tracked)) &amp; ":" &amp; ADDRESS(sort_max_row,COLUMN(tracked)),"")</f>
        <v/>
      </c>
      <c r="P13" s="1" t="str">
        <f t="shared" ref="P13:P50" ca="1" si="4">IF(is_category, RANK(tracked,INDIRECT(tracked_range),0),"")</f>
        <v/>
      </c>
      <c r="Q13" s="1" t="str">
        <f t="shared" ref="Q13:Q50" si="5">IF(is_category, ADDRESS(sort_min_row,COLUMN(budget)) &amp; ":" &amp; ADDRESS(sort_max_row,COLUMN(budget)),"")</f>
        <v/>
      </c>
      <c r="R13" s="47" t="str">
        <f t="shared" ref="R13:R50" ca="1" si="6">IF(is_category, RANK(budget,INDIRECT(budget_range),0),"")</f>
        <v/>
      </c>
      <c r="S13" s="46" t="str">
        <f t="shared" ref="S13:S50" si="7">IF(is_category,_xlfn.NUMBERVALUE(tracked_rank &amp; budget_rank),"")</f>
        <v/>
      </c>
      <c r="T13" s="1" t="str">
        <f t="shared" ref="T13:T50" si="8">IF(is_category, ADDRESS(sort_min_row,COLUMN(comb_rank)) &amp; ":" &amp; ADDRESS(sort_max_row,COLUMN(comb_rank)),"")</f>
        <v/>
      </c>
      <c r="U13" s="1" t="str">
        <f t="shared" ref="U13:U50" ca="1" si="9">IF(is_category, RANK(comb_rank, INDIRECT(comb_rank_range),1),"")</f>
        <v/>
      </c>
      <c r="V13" s="1" t="str">
        <f t="shared" ref="V13:V50" si="10">IF(is_category, ADDRESS(sort_min_row,COLUMN(comb_rank_norm)) &amp; ":" &amp; ADDRESS(ROW(),COLUMN(comb_rank_norm)),"")</f>
        <v/>
      </c>
      <c r="W13" s="47" t="str">
        <f t="shared" ref="W13:W50" ca="1" si="11">IF(is_category,comb_rank_norm + COUNTIF(INDIRECT(comb_rank_norm_run_range),comb_rank_norm)-1,"")</f>
        <v/>
      </c>
      <c r="X13" s="70">
        <f t="shared" ref="X13:X50" si="12">IF(is_category,header_row_id+comb_rank_unique,row_id)</f>
        <v>9</v>
      </c>
      <c r="Y13" s="74" t="str">
        <f t="shared" ref="Y13:Y50" si="13">IF(is_empty,"",INDEX($J:$J,MATCH(row_id,$X:$X,0)))</f>
        <v>Income</v>
      </c>
      <c r="Z13" s="135" t="str">
        <f t="shared" ref="Z13:Z50" si="14">IF(is_empty,"",
   IF(is_header, "Tracked",INDEX($K:$K,MATCH(row_id,$X:$X,0))))</f>
        <v>Tracked</v>
      </c>
      <c r="AA13" s="135" t="str">
        <f t="shared" ref="AA13:AA50" si="15">IF(is_empty,"",
   IF(is_header, "Budget",INDEX($L:$L,MATCH(row_id,$X:$X,0))))</f>
        <v>Budget</v>
      </c>
      <c r="AB13" s="76" t="str">
        <f t="shared" ref="AB13:AB50" si="16">IF(is_empty,"",IF(is_header,"% Compl.",IFERROR(out_tracked/out_budget,"-")))</f>
        <v>% Compl.</v>
      </c>
      <c r="AC13" s="135" t="str">
        <f t="shared" ref="AC13:AC50" si="17">IF(is_empty,"",IF(is_header, "Remaining", IF(out_budget-out_tracked&gt; 0, out_budget - out_tracked,0)))</f>
        <v>Remaining</v>
      </c>
      <c r="AD13" s="135" t="str">
        <f t="shared" ref="AD13:AD50" si="18">IF(is_empty,"",IF(is_header, "Excess", IF(out_budget-out_tracked &lt; 0, out_tracked- out_budget,0)))</f>
        <v>Excess</v>
      </c>
      <c r="AF13" s="78"/>
      <c r="AG13" s="79"/>
      <c r="AH13" s="79"/>
      <c r="AI13" s="79"/>
      <c r="AJ13" s="127"/>
      <c r="AK13" s="92"/>
      <c r="AM13" s="96"/>
      <c r="AN13" s="97"/>
      <c r="AO13" s="97"/>
      <c r="AP13" s="97"/>
      <c r="AQ13" s="131"/>
      <c r="AR13" s="98"/>
    </row>
    <row r="14" spans="3:44" x14ac:dyDescent="0.3">
      <c r="C14" s="46" cm="1">
        <f t="array" ref="C14">IF(C13=-1,-1,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47">
        <f t="shared" si="0"/>
        <v>9</v>
      </c>
      <c r="E14" s="46" cm="1">
        <f t="array" ref="E14">1*OR(row_id=income_header_row,row_id=expenses_header_row,row_id=savings_header_row)</f>
        <v>0</v>
      </c>
      <c r="F14" s="1">
        <f t="shared" si="1"/>
        <v>1</v>
      </c>
      <c r="G14" s="1" cm="1">
        <f t="array" ref="G14">1*OR(row_id=income_total_row,row_id=expenses_total_row,row_id=savings_total_row)</f>
        <v>0</v>
      </c>
      <c r="H14" s="47">
        <f t="shared" si="2"/>
        <v>0</v>
      </c>
      <c r="I14" s="46" t="str" cm="1">
        <f t="array" ref="I14">IFERROR(INDEX('Budget Planning'!C:C,header_row_id),"")</f>
        <v>Income</v>
      </c>
      <c r="J14" s="1" t="str" cm="1">
        <f t="array" ref="J14">IFERROR(INDEX('Budget Planning'!C:C,row_id),"")</f>
        <v xml:space="preserve">Employment </v>
      </c>
      <c r="K14" s="64" cm="1">
        <f t="array" aca="1" ref="K14"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4" s="68" cm="1">
        <f t="array" aca="1" ref="L14" ca="1">IF(OR(is_header,is_empty),"",
  INDEX('Budget Planning'!$E:$CI,row_id,
      MATCH(IF(selected_period="Total Year",selected_year,DATE(selected_year,selected_period,1)),'Budget Planning'!$E$9:$CI$9,0)))</f>
        <v>1500</v>
      </c>
      <c r="M14" s="46" cm="1">
        <f t="array" ref="M14">IF(is_category,
  IF(header_row_id=income_header_row,MATCH(income_min_row, $C:$C,0),
  IF(header_row_id=expenses_header_row,MATCH(expenses_min_row, $C:$C,0),
  IF(header_row_id=savings_header_row,MATCH(savings_min_row, $C:$C,0),""))),
 "")</f>
        <v>14</v>
      </c>
      <c r="N14" s="47" cm="1">
        <f t="array" ref="N14">IF(is_category,
  IF(header_row_id=income_header_row,MATCH(income_max_row, $C:$C,0),
  IF(header_row_id=expenses_header_row,MATCH(expenses_max_row, $C:$C,0),
  IF(header_row_id=savings_header_row,MATCH(savings_max_row, $C:$C,0),""))),
 "")</f>
        <v>19</v>
      </c>
      <c r="O14" s="46" t="str">
        <f t="shared" si="3"/>
        <v>$K$14:$K$19</v>
      </c>
      <c r="P14" s="1">
        <f t="shared" ca="1" si="4"/>
        <v>1</v>
      </c>
      <c r="Q14" s="1" t="str">
        <f t="shared" si="5"/>
        <v>$L$14:$L$19</v>
      </c>
      <c r="R14" s="47">
        <f t="shared" ca="1" si="6"/>
        <v>1</v>
      </c>
      <c r="S14" s="46">
        <f t="shared" ca="1" si="7"/>
        <v>11</v>
      </c>
      <c r="T14" s="1" t="str">
        <f t="shared" si="8"/>
        <v>$S$14:$S$19</v>
      </c>
      <c r="U14" s="1">
        <f t="shared" ca="1" si="9"/>
        <v>1</v>
      </c>
      <c r="V14" s="1" t="str">
        <f t="shared" si="10"/>
        <v>$U$14:$U$14</v>
      </c>
      <c r="W14" s="47">
        <f t="shared" ca="1" si="11"/>
        <v>1</v>
      </c>
      <c r="X14" s="70">
        <f t="shared" ca="1" si="12"/>
        <v>10</v>
      </c>
      <c r="Y14" s="74" t="str">
        <f t="shared" ca="1" si="13"/>
        <v xml:space="preserve">Employment </v>
      </c>
      <c r="Z14" s="135">
        <f t="shared" ca="1" si="14"/>
        <v>0</v>
      </c>
      <c r="AA14" s="135">
        <f t="shared" ca="1" si="15"/>
        <v>1500</v>
      </c>
      <c r="AB14" s="76">
        <f t="shared" ca="1" si="16"/>
        <v>0</v>
      </c>
      <c r="AC14" s="135">
        <f t="shared" ca="1" si="17"/>
        <v>1500</v>
      </c>
      <c r="AD14" s="135">
        <f t="shared" ca="1" si="18"/>
        <v>0</v>
      </c>
      <c r="AF14" s="46"/>
      <c r="AK14" s="93"/>
      <c r="AM14" s="46"/>
      <c r="AR14" s="47"/>
    </row>
    <row r="15" spans="3:44" x14ac:dyDescent="0.3">
      <c r="C15" s="46" cm="1">
        <f t="array" ref="C15">IF(C14=-1,-1,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11</v>
      </c>
      <c r="D15" s="47">
        <f t="shared" si="0"/>
        <v>9</v>
      </c>
      <c r="E15" s="46" cm="1">
        <f t="array" ref="E15">1*OR(row_id=income_header_row,row_id=expenses_header_row,row_id=savings_header_row)</f>
        <v>0</v>
      </c>
      <c r="F15" s="1">
        <f t="shared" si="1"/>
        <v>1</v>
      </c>
      <c r="G15" s="1" cm="1">
        <f t="array" ref="G15">1*OR(row_id=income_total_row,row_id=expenses_total_row,row_id=savings_total_row)</f>
        <v>0</v>
      </c>
      <c r="H15" s="47">
        <f t="shared" si="2"/>
        <v>0</v>
      </c>
      <c r="I15" s="46" t="str" cm="1">
        <f t="array" ref="I15">IFERROR(INDEX('Budget Planning'!C:C,header_row_id),"")</f>
        <v>Income</v>
      </c>
      <c r="J15" s="1" t="str" cm="1">
        <f t="array" ref="J15">IFERROR(INDEX('Budget Planning'!C:C,row_id),"")</f>
        <v>Bond Coupons / Savings Interest</v>
      </c>
      <c r="K15" s="64" cm="1">
        <f t="array" aca="1" ref="K15"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5" s="68" cm="1">
        <f t="array" aca="1" ref="L15" ca="1">IF(OR(is_header,is_empty),"",
  INDEX('Budget Planning'!$E:$CI,row_id,
      MATCH(IF(selected_period="Total Year",selected_year,DATE(selected_year,selected_period,1)),'Budget Planning'!$E$9:$CI$9,0)))</f>
        <v>12</v>
      </c>
      <c r="M15" s="46" cm="1">
        <f t="array" ref="M15">IF(is_category,
  IF(header_row_id=income_header_row,MATCH(income_min_row, $C:$C,0),
  IF(header_row_id=expenses_header_row,MATCH(expenses_min_row, $C:$C,0),
  IF(header_row_id=savings_header_row,MATCH(savings_min_row, $C:$C,0),""))),
 "")</f>
        <v>14</v>
      </c>
      <c r="N15" s="47" cm="1">
        <f t="array" ref="N15">IF(is_category,
  IF(header_row_id=income_header_row,MATCH(income_max_row, $C:$C,0),
  IF(header_row_id=expenses_header_row,MATCH(expenses_max_row, $C:$C,0),
  IF(header_row_id=savings_header_row,MATCH(savings_max_row, $C:$C,0),""))),
 "")</f>
        <v>19</v>
      </c>
      <c r="O15" s="46" t="str">
        <f t="shared" si="3"/>
        <v>$K$14:$K$19</v>
      </c>
      <c r="P15" s="1">
        <f t="shared" ca="1" si="4"/>
        <v>1</v>
      </c>
      <c r="Q15" s="1" t="str">
        <f t="shared" si="5"/>
        <v>$L$14:$L$19</v>
      </c>
      <c r="R15" s="47">
        <f t="shared" ca="1" si="6"/>
        <v>3</v>
      </c>
      <c r="S15" s="46">
        <f t="shared" ca="1" si="7"/>
        <v>13</v>
      </c>
      <c r="T15" s="1" t="str">
        <f t="shared" si="8"/>
        <v>$S$14:$S$19</v>
      </c>
      <c r="U15" s="1">
        <f t="shared" ca="1" si="9"/>
        <v>3</v>
      </c>
      <c r="V15" s="1" t="str">
        <f t="shared" si="10"/>
        <v>$U$14:$U$15</v>
      </c>
      <c r="W15" s="47">
        <f t="shared" ca="1" si="11"/>
        <v>3</v>
      </c>
      <c r="X15" s="70">
        <f t="shared" ca="1" si="12"/>
        <v>12</v>
      </c>
      <c r="Y15" s="74" t="str">
        <f t="shared" ca="1" si="13"/>
        <v>Coca Cola Dividends</v>
      </c>
      <c r="Z15" s="135">
        <f t="shared" ca="1" si="14"/>
        <v>0</v>
      </c>
      <c r="AA15" s="135">
        <f t="shared" ca="1" si="15"/>
        <v>100</v>
      </c>
      <c r="AB15" s="76">
        <f t="shared" ca="1" si="16"/>
        <v>0</v>
      </c>
      <c r="AC15" s="135">
        <f t="shared" ca="1" si="17"/>
        <v>100</v>
      </c>
      <c r="AD15" s="135">
        <f t="shared" ca="1" si="18"/>
        <v>0</v>
      </c>
      <c r="AF15" s="46"/>
      <c r="AK15" s="93"/>
      <c r="AM15" s="46"/>
      <c r="AR15" s="47"/>
    </row>
    <row r="16" spans="3:44" x14ac:dyDescent="0.3">
      <c r="C16" s="46" cm="1">
        <f t="array" ref="C16">IF(C15=-1,-1,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12</v>
      </c>
      <c r="D16" s="47">
        <f t="shared" si="0"/>
        <v>9</v>
      </c>
      <c r="E16" s="46" cm="1">
        <f t="array" ref="E16">1*OR(row_id=income_header_row,row_id=expenses_header_row,row_id=savings_header_row)</f>
        <v>0</v>
      </c>
      <c r="F16" s="1">
        <f t="shared" si="1"/>
        <v>1</v>
      </c>
      <c r="G16" s="1" cm="1">
        <f t="array" ref="G16">1*OR(row_id=income_total_row,row_id=expenses_total_row,row_id=savings_total_row)</f>
        <v>0</v>
      </c>
      <c r="H16" s="47">
        <f t="shared" si="2"/>
        <v>0</v>
      </c>
      <c r="I16" s="46" t="str" cm="1">
        <f t="array" ref="I16">IFERROR(INDEX('Budget Planning'!C:C,header_row_id),"")</f>
        <v>Income</v>
      </c>
      <c r="J16" s="1" t="str" cm="1">
        <f t="array" ref="J16">IFERROR(INDEX('Budget Planning'!C:C,row_id),"")</f>
        <v>Side Hustle</v>
      </c>
      <c r="K16" s="64" cm="1">
        <f t="array" aca="1" ref="K16"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6" s="68" cm="1">
        <f t="array" aca="1" ref="L16" ca="1">IF(OR(is_header,is_empty),"",
  INDEX('Budget Planning'!$E:$CI,row_id,
      MATCH(IF(selected_period="Total Year",selected_year,DATE(selected_year,selected_period,1)),'Budget Planning'!$E$9:$CI$9,0)))</f>
        <v>0</v>
      </c>
      <c r="M16" s="46" cm="1">
        <f t="array" ref="M16">IF(is_category,
  IF(header_row_id=income_header_row,MATCH(income_min_row, $C:$C,0),
  IF(header_row_id=expenses_header_row,MATCH(expenses_min_row, $C:$C,0),
  IF(header_row_id=savings_header_row,MATCH(savings_min_row, $C:$C,0),""))),
 "")</f>
        <v>14</v>
      </c>
      <c r="N16" s="47" cm="1">
        <f t="array" ref="N16">IF(is_category,
  IF(header_row_id=income_header_row,MATCH(income_max_row, $C:$C,0),
  IF(header_row_id=expenses_header_row,MATCH(expenses_max_row, $C:$C,0),
  IF(header_row_id=savings_header_row,MATCH(savings_max_row, $C:$C,0),""))),
 "")</f>
        <v>19</v>
      </c>
      <c r="O16" s="46" t="str">
        <f t="shared" si="3"/>
        <v>$K$14:$K$19</v>
      </c>
      <c r="P16" s="1">
        <f t="shared" ca="1" si="4"/>
        <v>1</v>
      </c>
      <c r="Q16" s="1" t="str">
        <f t="shared" si="5"/>
        <v>$L$14:$L$19</v>
      </c>
      <c r="R16" s="47">
        <f t="shared" ca="1" si="6"/>
        <v>4</v>
      </c>
      <c r="S16" s="46">
        <f t="shared" ca="1" si="7"/>
        <v>14</v>
      </c>
      <c r="T16" s="1" t="str">
        <f t="shared" si="8"/>
        <v>$S$14:$S$19</v>
      </c>
      <c r="U16" s="1">
        <f t="shared" ca="1" si="9"/>
        <v>4</v>
      </c>
      <c r="V16" s="1" t="str">
        <f t="shared" si="10"/>
        <v>$U$14:$U$16</v>
      </c>
      <c r="W16" s="47">
        <f t="shared" ca="1" si="11"/>
        <v>4</v>
      </c>
      <c r="X16" s="70">
        <f t="shared" ca="1" si="12"/>
        <v>13</v>
      </c>
      <c r="Y16" s="74" t="str">
        <f t="shared" ca="1" si="13"/>
        <v>Bond Coupons / Savings Interest</v>
      </c>
      <c r="Z16" s="135">
        <f t="shared" ca="1" si="14"/>
        <v>0</v>
      </c>
      <c r="AA16" s="135">
        <f t="shared" ca="1" si="15"/>
        <v>12</v>
      </c>
      <c r="AB16" s="76">
        <f t="shared" ca="1" si="16"/>
        <v>0</v>
      </c>
      <c r="AC16" s="135">
        <f t="shared" ca="1" si="17"/>
        <v>12</v>
      </c>
      <c r="AD16" s="135">
        <f t="shared" ca="1" si="18"/>
        <v>0</v>
      </c>
      <c r="AF16" s="46"/>
      <c r="AI16" s="90" t="str">
        <f ca="1">Calculations!E35</f>
        <v/>
      </c>
      <c r="AJ16" s="128" t="str">
        <f ca="1">Calculations!F35</f>
        <v/>
      </c>
      <c r="AK16" s="93"/>
      <c r="AM16" s="46"/>
      <c r="AR16" s="47"/>
    </row>
    <row r="17" spans="3:44" x14ac:dyDescent="0.3">
      <c r="C17" s="46" cm="1">
        <f t="array" ref="C17">IF(C16=-1,-1,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13</v>
      </c>
      <c r="D17" s="47">
        <f t="shared" si="0"/>
        <v>9</v>
      </c>
      <c r="E17" s="46" cm="1">
        <f t="array" ref="E17">1*OR(row_id=income_header_row,row_id=expenses_header_row,row_id=savings_header_row)</f>
        <v>0</v>
      </c>
      <c r="F17" s="1">
        <f t="shared" si="1"/>
        <v>1</v>
      </c>
      <c r="G17" s="1" cm="1">
        <f t="array" ref="G17">1*OR(row_id=income_total_row,row_id=expenses_total_row,row_id=savings_total_row)</f>
        <v>0</v>
      </c>
      <c r="H17" s="47">
        <f t="shared" si="2"/>
        <v>0</v>
      </c>
      <c r="I17" s="46" t="str" cm="1">
        <f t="array" ref="I17">IFERROR(INDEX('Budget Planning'!C:C,header_row_id),"")</f>
        <v>Income</v>
      </c>
      <c r="J17" s="1" t="str" cm="1">
        <f t="array" ref="J17">IFERROR(INDEX('Budget Planning'!C:C,row_id),"")</f>
        <v>Coca Cola Dividends</v>
      </c>
      <c r="K17" s="64" cm="1">
        <f t="array" aca="1" ref="K17"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7" s="68" cm="1">
        <f t="array" aca="1" ref="L17" ca="1">IF(OR(is_header,is_empty),"",
  INDEX('Budget Planning'!$E:$CI,row_id,
      MATCH(IF(selected_period="Total Year",selected_year,DATE(selected_year,selected_period,1)),'Budget Planning'!$E$9:$CI$9,0)))</f>
        <v>100</v>
      </c>
      <c r="M17" s="46" cm="1">
        <f t="array" ref="M17">IF(is_category,
  IF(header_row_id=income_header_row,MATCH(income_min_row, $C:$C,0),
  IF(header_row_id=expenses_header_row,MATCH(expenses_min_row, $C:$C,0),
  IF(header_row_id=savings_header_row,MATCH(savings_min_row, $C:$C,0),""))),
 "")</f>
        <v>14</v>
      </c>
      <c r="N17" s="47" cm="1">
        <f t="array" ref="N17">IF(is_category,
  IF(header_row_id=income_header_row,MATCH(income_max_row, $C:$C,0),
  IF(header_row_id=expenses_header_row,MATCH(expenses_max_row, $C:$C,0),
  IF(header_row_id=savings_header_row,MATCH(savings_max_row, $C:$C,0),""))),
 "")</f>
        <v>19</v>
      </c>
      <c r="O17" s="46" t="str">
        <f t="shared" si="3"/>
        <v>$K$14:$K$19</v>
      </c>
      <c r="P17" s="1">
        <f t="shared" ca="1" si="4"/>
        <v>1</v>
      </c>
      <c r="Q17" s="1" t="str">
        <f t="shared" si="5"/>
        <v>$L$14:$L$19</v>
      </c>
      <c r="R17" s="47">
        <f t="shared" ca="1" si="6"/>
        <v>2</v>
      </c>
      <c r="S17" s="46">
        <f t="shared" ca="1" si="7"/>
        <v>12</v>
      </c>
      <c r="T17" s="1" t="str">
        <f t="shared" si="8"/>
        <v>$S$14:$S$19</v>
      </c>
      <c r="U17" s="1">
        <f t="shared" ca="1" si="9"/>
        <v>2</v>
      </c>
      <c r="V17" s="1" t="str">
        <f t="shared" si="10"/>
        <v>$U$14:$U$17</v>
      </c>
      <c r="W17" s="47">
        <f t="shared" ca="1" si="11"/>
        <v>2</v>
      </c>
      <c r="X17" s="70">
        <f t="shared" ca="1" si="12"/>
        <v>11</v>
      </c>
      <c r="Y17" s="74" t="str">
        <f t="shared" ca="1" si="13"/>
        <v>Side Hustle</v>
      </c>
      <c r="Z17" s="135">
        <f t="shared" ca="1" si="14"/>
        <v>0</v>
      </c>
      <c r="AA17" s="135">
        <f t="shared" ca="1" si="15"/>
        <v>0</v>
      </c>
      <c r="AB17" s="76" t="str">
        <f t="shared" ca="1" si="16"/>
        <v>-</v>
      </c>
      <c r="AC17" s="135">
        <f t="shared" ca="1" si="17"/>
        <v>0</v>
      </c>
      <c r="AD17" s="135">
        <f t="shared" ca="1" si="18"/>
        <v>0</v>
      </c>
      <c r="AF17" s="46"/>
      <c r="AI17" s="90" t="str">
        <f ca="1">Calculations!E36</f>
        <v/>
      </c>
      <c r="AJ17" s="128" t="str">
        <f ca="1">Calculations!F36</f>
        <v/>
      </c>
      <c r="AK17" s="93"/>
      <c r="AM17" s="46"/>
      <c r="AR17" s="47"/>
    </row>
    <row r="18" spans="3:44" x14ac:dyDescent="0.3">
      <c r="C18" s="46" cm="1">
        <f t="array" ref="C18">IF(C17=-1,-1,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14</v>
      </c>
      <c r="D18" s="47">
        <f t="shared" si="0"/>
        <v>9</v>
      </c>
      <c r="E18" s="46" cm="1">
        <f t="array" ref="E18">1*OR(row_id=income_header_row,row_id=expenses_header_row,row_id=savings_header_row)</f>
        <v>0</v>
      </c>
      <c r="F18" s="1">
        <f t="shared" si="1"/>
        <v>1</v>
      </c>
      <c r="G18" s="1" cm="1">
        <f t="array" ref="G18">1*OR(row_id=income_total_row,row_id=expenses_total_row,row_id=savings_total_row)</f>
        <v>0</v>
      </c>
      <c r="H18" s="47">
        <f t="shared" si="2"/>
        <v>0</v>
      </c>
      <c r="I18" s="46" t="str" cm="1">
        <f t="array" ref="I18">IFERROR(INDEX('Budget Planning'!C:C,header_row_id),"")</f>
        <v>Income</v>
      </c>
      <c r="J18" s="1" t="str" cm="1">
        <f t="array" ref="J18">IFERROR(INDEX('Budget Planning'!C:C,row_id),"")</f>
        <v>Schwab Dividends</v>
      </c>
      <c r="K18" s="64" cm="1">
        <f t="array" aca="1" ref="K18"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8" s="68" cm="1">
        <f t="array" aca="1" ref="L18" ca="1">IF(OR(is_header,is_empty),"",
  INDEX('Budget Planning'!$E:$CI,row_id,
      MATCH(IF(selected_period="Total Year",selected_year,DATE(selected_year,selected_period,1)),'Budget Planning'!$E$9:$CI$9,0)))</f>
        <v>0</v>
      </c>
      <c r="M18" s="46" cm="1">
        <f t="array" ref="M18">IF(is_category,
  IF(header_row_id=income_header_row,MATCH(income_min_row, $C:$C,0),
  IF(header_row_id=expenses_header_row,MATCH(expenses_min_row, $C:$C,0),
  IF(header_row_id=savings_header_row,MATCH(savings_min_row, $C:$C,0),""))),
 "")</f>
        <v>14</v>
      </c>
      <c r="N18" s="47" cm="1">
        <f t="array" ref="N18">IF(is_category,
  IF(header_row_id=income_header_row,MATCH(income_max_row, $C:$C,0),
  IF(header_row_id=expenses_header_row,MATCH(expenses_max_row, $C:$C,0),
  IF(header_row_id=savings_header_row,MATCH(savings_max_row, $C:$C,0),""))),
 "")</f>
        <v>19</v>
      </c>
      <c r="O18" s="46" t="str">
        <f t="shared" si="3"/>
        <v>$K$14:$K$19</v>
      </c>
      <c r="P18" s="1">
        <f t="shared" ca="1" si="4"/>
        <v>1</v>
      </c>
      <c r="Q18" s="1" t="str">
        <f t="shared" si="5"/>
        <v>$L$14:$L$19</v>
      </c>
      <c r="R18" s="47">
        <f t="shared" ca="1" si="6"/>
        <v>4</v>
      </c>
      <c r="S18" s="46">
        <f t="shared" ca="1" si="7"/>
        <v>14</v>
      </c>
      <c r="T18" s="1" t="str">
        <f t="shared" si="8"/>
        <v>$S$14:$S$19</v>
      </c>
      <c r="U18" s="1">
        <f t="shared" ca="1" si="9"/>
        <v>4</v>
      </c>
      <c r="V18" s="1" t="str">
        <f t="shared" si="10"/>
        <v>$U$14:$U$18</v>
      </c>
      <c r="W18" s="47">
        <f t="shared" ca="1" si="11"/>
        <v>5</v>
      </c>
      <c r="X18" s="70">
        <f t="shared" ca="1" si="12"/>
        <v>14</v>
      </c>
      <c r="Y18" s="74" t="str">
        <f t="shared" ca="1" si="13"/>
        <v>Schwab Dividends</v>
      </c>
      <c r="Z18" s="135">
        <f t="shared" ca="1" si="14"/>
        <v>0</v>
      </c>
      <c r="AA18" s="135">
        <f t="shared" ca="1" si="15"/>
        <v>0</v>
      </c>
      <c r="AB18" s="76" t="str">
        <f t="shared" ca="1" si="16"/>
        <v>-</v>
      </c>
      <c r="AC18" s="135">
        <f t="shared" ca="1" si="17"/>
        <v>0</v>
      </c>
      <c r="AD18" s="135">
        <f t="shared" ca="1" si="18"/>
        <v>0</v>
      </c>
      <c r="AF18" s="46"/>
      <c r="AI18" s="90" t="str">
        <f ca="1">Calculations!E37</f>
        <v/>
      </c>
      <c r="AJ18" s="128" t="str">
        <f ca="1">Calculations!F37</f>
        <v/>
      </c>
      <c r="AK18" s="93"/>
      <c r="AM18" s="46"/>
      <c r="AR18" s="47"/>
    </row>
    <row r="19" spans="3:44" ht="12" customHeight="1" x14ac:dyDescent="0.3">
      <c r="C19" s="46" cm="1">
        <f t="array" ref="C19">IF(C18=-1,-1,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15</v>
      </c>
      <c r="D19" s="47">
        <f t="shared" si="0"/>
        <v>9</v>
      </c>
      <c r="E19" s="46" cm="1">
        <f t="array" ref="E19">1*OR(row_id=income_header_row,row_id=expenses_header_row,row_id=savings_header_row)</f>
        <v>0</v>
      </c>
      <c r="F19" s="1">
        <f t="shared" si="1"/>
        <v>1</v>
      </c>
      <c r="G19" s="1" cm="1">
        <f t="array" ref="G19">1*OR(row_id=income_total_row,row_id=expenses_total_row,row_id=savings_total_row)</f>
        <v>0</v>
      </c>
      <c r="H19" s="47">
        <f t="shared" si="2"/>
        <v>0</v>
      </c>
      <c r="I19" s="46" t="str" cm="1">
        <f t="array" ref="I19">IFERROR(INDEX('Budget Planning'!C:C,header_row_id),"")</f>
        <v>Income</v>
      </c>
      <c r="J19" s="1" t="str" cm="1">
        <f t="array" ref="J19">IFERROR(INDEX('Budget Planning'!C:C,row_id),"")</f>
        <v>Tax Refund</v>
      </c>
      <c r="K19" s="64" cm="1">
        <f t="array" aca="1" ref="K19"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9" s="68" cm="1">
        <f t="array" aca="1" ref="L19" ca="1">IF(OR(is_header,is_empty),"",
  INDEX('Budget Planning'!$E:$CI,row_id,
      MATCH(IF(selected_period="Total Year",selected_year,DATE(selected_year,selected_period,1)),'Budget Planning'!$E$9:$CI$9,0)))</f>
        <v>0</v>
      </c>
      <c r="M19" s="46" cm="1">
        <f t="array" ref="M19">IF(is_category,
  IF(header_row_id=income_header_row,MATCH(income_min_row, $C:$C,0),
  IF(header_row_id=expenses_header_row,MATCH(expenses_min_row, $C:$C,0),
  IF(header_row_id=savings_header_row,MATCH(savings_min_row, $C:$C,0),""))),
 "")</f>
        <v>14</v>
      </c>
      <c r="N19" s="47" cm="1">
        <f t="array" ref="N19">IF(is_category,
  IF(header_row_id=income_header_row,MATCH(income_max_row, $C:$C,0),
  IF(header_row_id=expenses_header_row,MATCH(expenses_max_row, $C:$C,0),
  IF(header_row_id=savings_header_row,MATCH(savings_max_row, $C:$C,0),""))),
 "")</f>
        <v>19</v>
      </c>
      <c r="O19" s="46" t="str">
        <f t="shared" si="3"/>
        <v>$K$14:$K$19</v>
      </c>
      <c r="P19" s="1">
        <f t="shared" ca="1" si="4"/>
        <v>1</v>
      </c>
      <c r="Q19" s="1" t="str">
        <f t="shared" si="5"/>
        <v>$L$14:$L$19</v>
      </c>
      <c r="R19" s="47">
        <f t="shared" ca="1" si="6"/>
        <v>4</v>
      </c>
      <c r="S19" s="46">
        <f t="shared" ca="1" si="7"/>
        <v>14</v>
      </c>
      <c r="T19" s="1" t="str">
        <f t="shared" si="8"/>
        <v>$S$14:$S$19</v>
      </c>
      <c r="U19" s="1">
        <f t="shared" ca="1" si="9"/>
        <v>4</v>
      </c>
      <c r="V19" s="1" t="str">
        <f t="shared" si="10"/>
        <v>$U$14:$U$19</v>
      </c>
      <c r="W19" s="47">
        <f t="shared" ca="1" si="11"/>
        <v>6</v>
      </c>
      <c r="X19" s="70">
        <f t="shared" ca="1" si="12"/>
        <v>15</v>
      </c>
      <c r="Y19" s="74" t="str">
        <f t="shared" ca="1" si="13"/>
        <v>Tax Refund</v>
      </c>
      <c r="Z19" s="135">
        <f t="shared" ca="1" si="14"/>
        <v>0</v>
      </c>
      <c r="AA19" s="135">
        <f t="shared" ca="1" si="15"/>
        <v>0</v>
      </c>
      <c r="AB19" s="76" t="str">
        <f t="shared" ca="1" si="16"/>
        <v>-</v>
      </c>
      <c r="AC19" s="135">
        <f t="shared" ca="1" si="17"/>
        <v>0</v>
      </c>
      <c r="AD19" s="135">
        <f t="shared" ca="1" si="18"/>
        <v>0</v>
      </c>
      <c r="AE19" s="1" t="e">
        <f ca="1">(AD19/AD29)/(AA19/AA29)</f>
        <v>#DIV/0!</v>
      </c>
      <c r="AF19" s="46"/>
      <c r="AI19" s="90" t="str">
        <f ca="1">Calculations!E38</f>
        <v/>
      </c>
      <c r="AJ19" s="128" t="str">
        <f ca="1">Calculations!F38</f>
        <v/>
      </c>
      <c r="AK19" s="93"/>
      <c r="AM19" s="46"/>
      <c r="AR19" s="47"/>
    </row>
    <row r="20" spans="3:44" x14ac:dyDescent="0.3">
      <c r="C20" s="46" cm="1">
        <f t="array" ref="C20">IF(C19=-1,-1,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20</v>
      </c>
      <c r="D20" s="47">
        <f t="shared" si="0"/>
        <v>9</v>
      </c>
      <c r="E20" s="46" cm="1">
        <f t="array" ref="E20">1*OR(row_id=income_header_row,row_id=expenses_header_row,row_id=savings_header_row)</f>
        <v>0</v>
      </c>
      <c r="F20" s="1">
        <f t="shared" si="1"/>
        <v>0</v>
      </c>
      <c r="G20" s="1" cm="1">
        <f t="array" ref="G20">1*OR(row_id=income_total_row,row_id=expenses_total_row,row_id=savings_total_row)</f>
        <v>1</v>
      </c>
      <c r="H20" s="47">
        <f t="shared" si="2"/>
        <v>0</v>
      </c>
      <c r="I20" s="46" t="str" cm="1">
        <f t="array" ref="I20">IFERROR(INDEX('Budget Planning'!C:C,header_row_id),"")</f>
        <v>Income</v>
      </c>
      <c r="J20" s="1" t="str" cm="1">
        <f t="array" ref="J20">IFERROR(INDEX('Budget Planning'!C:C,row_id),"")</f>
        <v>Total</v>
      </c>
      <c r="K20" s="64" cm="1">
        <f t="array" aca="1" ref="K20"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760.47</v>
      </c>
      <c r="L20" s="68" cm="1">
        <f t="array" aca="1" ref="L20" ca="1">IF(OR(is_header,is_empty),"",
  INDEX('Budget Planning'!$E:$CI,row_id,
      MATCH(IF(selected_period="Total Year",selected_year,DATE(selected_year,selected_period,1)),'Budget Planning'!$E$9:$CI$9,0)))</f>
        <v>1612</v>
      </c>
      <c r="M20" s="46" t="str" cm="1">
        <f t="array" ref="M20">IF(is_category,
  IF(header_row_id=income_header_row,MATCH(income_min_row, $C:$C,0),
  IF(header_row_id=expenses_header_row,MATCH(expenses_min_row, $C:$C,0),
  IF(header_row_id=savings_header_row,MATCH(savings_min_row, $C:$C,0),""))),
 "")</f>
        <v/>
      </c>
      <c r="N20" s="47" t="str" cm="1">
        <f t="array" ref="N20">IF(is_category,
  IF(header_row_id=income_header_row,MATCH(income_max_row, $C:$C,0),
  IF(header_row_id=expenses_header_row,MATCH(expenses_max_row, $C:$C,0),
  IF(header_row_id=savings_header_row,MATCH(savings_max_row, $C:$C,0),""))),
 "")</f>
        <v/>
      </c>
      <c r="O20" s="46" t="str">
        <f t="shared" si="3"/>
        <v/>
      </c>
      <c r="P20" s="1" t="str">
        <f t="shared" ca="1" si="4"/>
        <v/>
      </c>
      <c r="Q20" s="1" t="str">
        <f t="shared" si="5"/>
        <v/>
      </c>
      <c r="R20" s="47" t="str">
        <f t="shared" ca="1" si="6"/>
        <v/>
      </c>
      <c r="S20" s="46" t="str">
        <f t="shared" si="7"/>
        <v/>
      </c>
      <c r="T20" s="1" t="str">
        <f t="shared" si="8"/>
        <v/>
      </c>
      <c r="U20" s="1" t="str">
        <f t="shared" ca="1" si="9"/>
        <v/>
      </c>
      <c r="V20" s="1" t="str">
        <f t="shared" si="10"/>
        <v/>
      </c>
      <c r="W20" s="47" t="str">
        <f t="shared" ca="1" si="11"/>
        <v/>
      </c>
      <c r="X20" s="70">
        <f t="shared" si="12"/>
        <v>20</v>
      </c>
      <c r="Y20" s="74" t="str">
        <f t="shared" ca="1" si="13"/>
        <v>Total</v>
      </c>
      <c r="Z20" s="135">
        <f t="shared" ca="1" si="14"/>
        <v>760.47</v>
      </c>
      <c r="AA20" s="135">
        <f t="shared" ca="1" si="15"/>
        <v>1612</v>
      </c>
      <c r="AB20" s="76">
        <f t="shared" ca="1" si="16"/>
        <v>0.47175558312655086</v>
      </c>
      <c r="AC20" s="135">
        <f t="shared" ca="1" si="17"/>
        <v>851.53</v>
      </c>
      <c r="AD20" s="135">
        <f t="shared" ca="1" si="18"/>
        <v>0</v>
      </c>
      <c r="AF20" s="46"/>
      <c r="AG20" s="80"/>
      <c r="AI20" s="90" t="str">
        <f ca="1">Calculations!E39</f>
        <v/>
      </c>
      <c r="AJ20" s="128" t="str">
        <f ca="1">Calculations!F39</f>
        <v/>
      </c>
      <c r="AK20" s="93"/>
      <c r="AM20" s="46"/>
      <c r="AR20" s="47"/>
    </row>
    <row r="21" spans="3:44" x14ac:dyDescent="0.3">
      <c r="C21" s="46" t="str" cm="1">
        <f t="array" ref="C21">IF(C20=-1,-1,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/1</v>
      </c>
      <c r="D21" s="47">
        <f t="shared" si="0"/>
        <v>-1</v>
      </c>
      <c r="E21" s="46" cm="1">
        <f t="array" ref="E21">1*OR(row_id=income_header_row,row_id=expenses_header_row,row_id=savings_header_row)</f>
        <v>0</v>
      </c>
      <c r="F21" s="1">
        <f t="shared" si="1"/>
        <v>0</v>
      </c>
      <c r="G21" s="1" cm="1">
        <f t="array" ref="G21">1*OR(row_id=income_total_row,row_id=expenses_total_row,row_id=savings_total_row)</f>
        <v>0</v>
      </c>
      <c r="H21" s="47">
        <f t="shared" si="2"/>
        <v>1</v>
      </c>
      <c r="I21" s="46" t="str" cm="1">
        <f t="array" ref="I21">IFERROR(INDEX('Budget Planning'!C:C,header_row_id),"")</f>
        <v/>
      </c>
      <c r="J21" s="1" t="str" cm="1">
        <f t="array" ref="J21">IFERROR(INDEX('Budget Planning'!C:C,row_id),"")</f>
        <v/>
      </c>
      <c r="K21" s="64" t="str" cm="1">
        <f t="array" ref="K2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1" s="68" t="str" cm="1">
        <f t="array" ref="L21">IF(OR(is_header,is_empty),"",
  INDEX('Budget Planning'!$E:$CI,row_id,
      MATCH(IF(selected_period="Total Year",selected_year,DATE(selected_year,selected_period,1)),'Budget Planning'!$E$9:$CI$9,0)))</f>
        <v/>
      </c>
      <c r="M21" s="46" t="str" cm="1">
        <f t="array" ref="M21">IF(is_category,
  IF(header_row_id=income_header_row,MATCH(income_min_row, $C:$C,0),
  IF(header_row_id=expenses_header_row,MATCH(expenses_min_row, $C:$C,0),
  IF(header_row_id=savings_header_row,MATCH(savings_min_row, $C:$C,0),""))),
 "")</f>
        <v/>
      </c>
      <c r="N21" s="47" t="str" cm="1">
        <f t="array" ref="N21">IF(is_category,
  IF(header_row_id=income_header_row,MATCH(income_max_row, $C:$C,0),
  IF(header_row_id=expenses_header_row,MATCH(expenses_max_row, $C:$C,0),
  IF(header_row_id=savings_header_row,MATCH(savings_max_row, $C:$C,0),""))),
 "")</f>
        <v/>
      </c>
      <c r="O21" s="46" t="str">
        <f t="shared" si="3"/>
        <v/>
      </c>
      <c r="P21" s="1" t="str">
        <f t="shared" ca="1" si="4"/>
        <v/>
      </c>
      <c r="Q21" s="1" t="str">
        <f t="shared" si="5"/>
        <v/>
      </c>
      <c r="R21" s="47" t="str">
        <f t="shared" ca="1" si="6"/>
        <v/>
      </c>
      <c r="S21" s="46" t="str">
        <f t="shared" si="7"/>
        <v/>
      </c>
      <c r="T21" s="1" t="str">
        <f t="shared" si="8"/>
        <v/>
      </c>
      <c r="U21" s="1" t="str">
        <f t="shared" ca="1" si="9"/>
        <v/>
      </c>
      <c r="V21" s="1" t="str">
        <f t="shared" si="10"/>
        <v/>
      </c>
      <c r="W21" s="47" t="str">
        <f t="shared" ca="1" si="11"/>
        <v/>
      </c>
      <c r="X21" s="70" t="str">
        <f t="shared" si="12"/>
        <v>/1</v>
      </c>
      <c r="Y21" s="74" t="str">
        <f t="shared" si="13"/>
        <v/>
      </c>
      <c r="Z21" s="135" t="str">
        <f t="shared" si="14"/>
        <v/>
      </c>
      <c r="AA21" s="135" t="str">
        <f t="shared" si="15"/>
        <v/>
      </c>
      <c r="AB21" s="76" t="str">
        <f t="shared" si="16"/>
        <v/>
      </c>
      <c r="AC21" s="135" t="str">
        <f t="shared" si="17"/>
        <v/>
      </c>
      <c r="AD21" s="135" t="str">
        <f t="shared" si="18"/>
        <v/>
      </c>
      <c r="AF21" s="46"/>
      <c r="AI21" s="90" t="str">
        <f ca="1">Calculations!E40</f>
        <v>Other</v>
      </c>
      <c r="AJ21" s="128">
        <f ca="1">Calculations!F40</f>
        <v>760.47</v>
      </c>
      <c r="AK21" s="93"/>
      <c r="AM21" s="46"/>
      <c r="AR21" s="47"/>
    </row>
    <row r="22" spans="3:44" x14ac:dyDescent="0.3">
      <c r="C22" s="46" cm="1">
        <f t="array" ref="C22">IF(C21=-1,-1,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22</v>
      </c>
      <c r="D22" s="47">
        <f t="shared" si="0"/>
        <v>22</v>
      </c>
      <c r="E22" s="46" cm="1">
        <f t="array" ref="E22">1*OR(row_id=income_header_row,row_id=expenses_header_row,row_id=savings_header_row)</f>
        <v>1</v>
      </c>
      <c r="F22" s="1">
        <f t="shared" si="1"/>
        <v>0</v>
      </c>
      <c r="G22" s="1" cm="1">
        <f t="array" ref="G22">1*OR(row_id=income_total_row,row_id=expenses_total_row,row_id=savings_total_row)</f>
        <v>0</v>
      </c>
      <c r="H22" s="47">
        <f t="shared" si="2"/>
        <v>0</v>
      </c>
      <c r="I22" s="46" t="str" cm="1">
        <f t="array" ref="I22">IFERROR(INDEX('Budget Planning'!C:C,header_row_id),"")</f>
        <v>Expenses</v>
      </c>
      <c r="J22" s="1" t="str" cm="1">
        <f t="array" ref="J22">IFERROR(INDEX('Budget Planning'!C:C,row_id),"")</f>
        <v>Expenses</v>
      </c>
      <c r="K22" s="64" t="str" cm="1">
        <f t="array" ref="K22">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2" s="68" t="str" cm="1">
        <f t="array" ref="L22">IF(OR(is_header,is_empty),"",
  INDEX('Budget Planning'!$E:$CI,row_id,
      MATCH(IF(selected_period="Total Year",selected_year,DATE(selected_year,selected_period,1)),'Budget Planning'!$E$9:$CI$9,0)))</f>
        <v/>
      </c>
      <c r="M22" s="46" t="str" cm="1">
        <f t="array" ref="M22">IF(is_category,
  IF(header_row_id=income_header_row,MATCH(income_min_row, $C:$C,0),
  IF(header_row_id=expenses_header_row,MATCH(expenses_min_row, $C:$C,0),
  IF(header_row_id=savings_header_row,MATCH(savings_min_row, $C:$C,0),""))),
 "")</f>
        <v/>
      </c>
      <c r="N22" s="47" t="str" cm="1">
        <f t="array" ref="N22">IF(is_category,
  IF(header_row_id=income_header_row,MATCH(income_max_row, $C:$C,0),
  IF(header_row_id=expenses_header_row,MATCH(expenses_max_row, $C:$C,0),
  IF(header_row_id=savings_header_row,MATCH(savings_max_row, $C:$C,0),""))),
 "")</f>
        <v/>
      </c>
      <c r="O22" s="46" t="str">
        <f t="shared" si="3"/>
        <v/>
      </c>
      <c r="P22" s="1" t="str">
        <f t="shared" ca="1" si="4"/>
        <v/>
      </c>
      <c r="Q22" s="1" t="str">
        <f t="shared" si="5"/>
        <v/>
      </c>
      <c r="R22" s="47" t="str">
        <f t="shared" ca="1" si="6"/>
        <v/>
      </c>
      <c r="S22" s="46" t="str">
        <f t="shared" si="7"/>
        <v/>
      </c>
      <c r="T22" s="1" t="str">
        <f t="shared" si="8"/>
        <v/>
      </c>
      <c r="U22" s="1" t="str">
        <f t="shared" ca="1" si="9"/>
        <v/>
      </c>
      <c r="V22" s="1" t="str">
        <f t="shared" si="10"/>
        <v/>
      </c>
      <c r="W22" s="47" t="str">
        <f t="shared" ca="1" si="11"/>
        <v/>
      </c>
      <c r="X22" s="70">
        <f t="shared" si="12"/>
        <v>22</v>
      </c>
      <c r="Y22" s="74" t="str">
        <f t="shared" ca="1" si="13"/>
        <v>Expenses</v>
      </c>
      <c r="Z22" s="135" t="str">
        <f t="shared" si="14"/>
        <v>Tracked</v>
      </c>
      <c r="AA22" s="135" t="str">
        <f t="shared" si="15"/>
        <v>Budget</v>
      </c>
      <c r="AB22" s="76" t="str">
        <f t="shared" si="16"/>
        <v>% Compl.</v>
      </c>
      <c r="AC22" s="135" t="str">
        <f t="shared" si="17"/>
        <v>Remaining</v>
      </c>
      <c r="AD22" s="135" t="str">
        <f t="shared" si="18"/>
        <v>Excess</v>
      </c>
      <c r="AF22" s="46"/>
      <c r="AI22" s="91" t="str">
        <f>Calculations!E41</f>
        <v>Total</v>
      </c>
      <c r="AJ22" s="129">
        <f ca="1">Calculations!F41</f>
        <v>760.47</v>
      </c>
      <c r="AK22" s="93"/>
      <c r="AM22" s="46"/>
      <c r="AR22" s="47"/>
    </row>
    <row r="23" spans="3:44" x14ac:dyDescent="0.3">
      <c r="C23" s="46" cm="1">
        <f t="array" ref="C23">IF(C22=-1,-1,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23</v>
      </c>
      <c r="D23" s="47">
        <f t="shared" si="0"/>
        <v>22</v>
      </c>
      <c r="E23" s="46" cm="1">
        <f t="array" ref="E23">1*OR(row_id=income_header_row,row_id=expenses_header_row,row_id=savings_header_row)</f>
        <v>0</v>
      </c>
      <c r="F23" s="1">
        <f t="shared" si="1"/>
        <v>1</v>
      </c>
      <c r="G23" s="1" cm="1">
        <f t="array" ref="G23">1*OR(row_id=income_total_row,row_id=expenses_total_row,row_id=savings_total_row)</f>
        <v>0</v>
      </c>
      <c r="H23" s="47">
        <f t="shared" si="2"/>
        <v>0</v>
      </c>
      <c r="I23" s="46" t="str" cm="1">
        <f t="array" ref="I23">IFERROR(INDEX('Budget Planning'!C:C,header_row_id),"")</f>
        <v>Expenses</v>
      </c>
      <c r="J23" s="1" t="str" cm="1">
        <f t="array" ref="J23">IFERROR(INDEX('Budget Planning'!C:C,row_id),"")</f>
        <v>Groceries</v>
      </c>
      <c r="K23" s="64" cm="1">
        <f t="array" aca="1" ref="K23"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3" s="68" cm="1">
        <f t="array" aca="1" ref="L23" ca="1">IF(OR(is_header,is_empty),"",
  INDEX('Budget Planning'!$E:$CI,row_id,
      MATCH(IF(selected_period="Total Year",selected_year,DATE(selected_year,selected_period,1)),'Budget Planning'!$E$9:$CI$9,0)))</f>
        <v>0</v>
      </c>
      <c r="M23" s="46" cm="1">
        <f t="array" ref="M23">IF(is_category,
  IF(header_row_id=income_header_row,MATCH(income_min_row, $C:$C,0),
  IF(header_row_id=expenses_header_row,MATCH(expenses_min_row, $C:$C,0),
  IF(header_row_id=savings_header_row,MATCH(savings_min_row, $C:$C,0),""))),
 "")</f>
        <v>23</v>
      </c>
      <c r="N23" s="47" cm="1">
        <f t="array" ref="N23">IF(is_category,
  IF(header_row_id=income_header_row,MATCH(income_max_row, $C:$C,0),
  IF(header_row_id=expenses_header_row,MATCH(expenses_max_row, $C:$C,0),
  IF(header_row_id=savings_header_row,MATCH(savings_max_row, $C:$C,0),""))),
 "")</f>
        <v>31</v>
      </c>
      <c r="O23" s="46" t="str">
        <f t="shared" si="3"/>
        <v>$K$23:$K$31</v>
      </c>
      <c r="P23" s="1">
        <f t="shared" ca="1" si="4"/>
        <v>4</v>
      </c>
      <c r="Q23" s="1" t="str">
        <f t="shared" si="5"/>
        <v>$L$23:$L$31</v>
      </c>
      <c r="R23" s="47">
        <f t="shared" ca="1" si="6"/>
        <v>7</v>
      </c>
      <c r="S23" s="46">
        <f t="shared" ca="1" si="7"/>
        <v>47</v>
      </c>
      <c r="T23" s="1" t="str">
        <f t="shared" si="8"/>
        <v>$S$23:$S$31</v>
      </c>
      <c r="U23" s="1">
        <f t="shared" ca="1" si="9"/>
        <v>7</v>
      </c>
      <c r="V23" s="1" t="str">
        <f t="shared" si="10"/>
        <v>$U$23:$U$23</v>
      </c>
      <c r="W23" s="47">
        <f t="shared" ca="1" si="11"/>
        <v>7</v>
      </c>
      <c r="X23" s="70">
        <f t="shared" ca="1" si="12"/>
        <v>29</v>
      </c>
      <c r="Y23" s="74" t="str">
        <f t="shared" ca="1" si="13"/>
        <v>Food</v>
      </c>
      <c r="Z23" s="135">
        <f t="shared" ca="1" si="14"/>
        <v>73.97</v>
      </c>
      <c r="AA23" s="135">
        <f t="shared" ca="1" si="15"/>
        <v>300</v>
      </c>
      <c r="AB23" s="76">
        <f t="shared" ca="1" si="16"/>
        <v>0.24656666666666666</v>
      </c>
      <c r="AC23" s="135">
        <f t="shared" ca="1" si="17"/>
        <v>226.03</v>
      </c>
      <c r="AD23" s="135">
        <f t="shared" ca="1" si="18"/>
        <v>0</v>
      </c>
      <c r="AF23" s="46"/>
      <c r="AK23" s="93"/>
      <c r="AM23" s="46"/>
      <c r="AR23" s="47"/>
    </row>
    <row r="24" spans="3:44" x14ac:dyDescent="0.3">
      <c r="C24" s="46" cm="1">
        <f t="array" ref="C24">IF(C23=-1,-1,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24</v>
      </c>
      <c r="D24" s="47">
        <f t="shared" si="0"/>
        <v>22</v>
      </c>
      <c r="E24" s="46" cm="1">
        <f t="array" ref="E24">1*OR(row_id=income_header_row,row_id=expenses_header_row,row_id=savings_header_row)</f>
        <v>0</v>
      </c>
      <c r="F24" s="1">
        <f t="shared" si="1"/>
        <v>1</v>
      </c>
      <c r="G24" s="1" cm="1">
        <f t="array" ref="G24">1*OR(row_id=income_total_row,row_id=expenses_total_row,row_id=savings_total_row)</f>
        <v>0</v>
      </c>
      <c r="H24" s="47">
        <f t="shared" si="2"/>
        <v>0</v>
      </c>
      <c r="I24" s="46" t="str" cm="1">
        <f t="array" ref="I24">IFERROR(INDEX('Budget Planning'!C:C,header_row_id),"")</f>
        <v>Expenses</v>
      </c>
      <c r="J24" s="1" t="str" cm="1">
        <f t="array" ref="J24">IFERROR(INDEX('Budget Planning'!C:C,row_id),"")</f>
        <v>Food</v>
      </c>
      <c r="K24" s="64" cm="1">
        <f t="array" aca="1" ref="K24"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73.97</v>
      </c>
      <c r="L24" s="68" cm="1">
        <f t="array" aca="1" ref="L24" ca="1">IF(OR(is_header,is_empty),"",
  INDEX('Budget Planning'!$E:$CI,row_id,
      MATCH(IF(selected_period="Total Year",selected_year,DATE(selected_year,selected_period,1)),'Budget Planning'!$E$9:$CI$9,0)))</f>
        <v>300</v>
      </c>
      <c r="M24" s="46" cm="1">
        <f t="array" ref="M24">IF(is_category,
  IF(header_row_id=income_header_row,MATCH(income_min_row, $C:$C,0),
  IF(header_row_id=expenses_header_row,MATCH(expenses_min_row, $C:$C,0),
  IF(header_row_id=savings_header_row,MATCH(savings_min_row, $C:$C,0),""))),
 "")</f>
        <v>23</v>
      </c>
      <c r="N24" s="47" cm="1">
        <f t="array" ref="N24">IF(is_category,
  IF(header_row_id=income_header_row,MATCH(income_max_row, $C:$C,0),
  IF(header_row_id=expenses_header_row,MATCH(expenses_max_row, $C:$C,0),
  IF(header_row_id=savings_header_row,MATCH(savings_max_row, $C:$C,0),""))),
 "")</f>
        <v>31</v>
      </c>
      <c r="O24" s="46" t="str">
        <f t="shared" si="3"/>
        <v>$K$23:$K$31</v>
      </c>
      <c r="P24" s="1">
        <f t="shared" ca="1" si="4"/>
        <v>1</v>
      </c>
      <c r="Q24" s="1" t="str">
        <f t="shared" si="5"/>
        <v>$L$23:$L$31</v>
      </c>
      <c r="R24" s="47">
        <f t="shared" ca="1" si="6"/>
        <v>1</v>
      </c>
      <c r="S24" s="46">
        <f t="shared" ca="1" si="7"/>
        <v>11</v>
      </c>
      <c r="T24" s="1" t="str">
        <f t="shared" si="8"/>
        <v>$S$23:$S$31</v>
      </c>
      <c r="U24" s="1">
        <f t="shared" ca="1" si="9"/>
        <v>1</v>
      </c>
      <c r="V24" s="1" t="str">
        <f t="shared" si="10"/>
        <v>$U$23:$U$24</v>
      </c>
      <c r="W24" s="47">
        <f t="shared" ca="1" si="11"/>
        <v>1</v>
      </c>
      <c r="X24" s="70">
        <f t="shared" ca="1" si="12"/>
        <v>23</v>
      </c>
      <c r="Y24" s="74" t="str">
        <f t="shared" ca="1" si="13"/>
        <v>Media</v>
      </c>
      <c r="Z24" s="135">
        <f t="shared" ca="1" si="14"/>
        <v>16.18</v>
      </c>
      <c r="AA24" s="135">
        <f t="shared" ca="1" si="15"/>
        <v>15</v>
      </c>
      <c r="AB24" s="76">
        <f t="shared" ca="1" si="16"/>
        <v>1.0786666666666667</v>
      </c>
      <c r="AC24" s="135">
        <f t="shared" ca="1" si="17"/>
        <v>0</v>
      </c>
      <c r="AD24" s="135">
        <f t="shared" ca="1" si="18"/>
        <v>1.1799999999999997</v>
      </c>
      <c r="AF24" s="48"/>
      <c r="AG24" s="49"/>
      <c r="AH24" s="49"/>
      <c r="AI24" s="49"/>
      <c r="AJ24" s="130"/>
      <c r="AK24" s="94"/>
      <c r="AM24" s="48"/>
      <c r="AN24" s="49"/>
      <c r="AO24" s="49"/>
      <c r="AP24" s="49"/>
      <c r="AQ24" s="130"/>
      <c r="AR24" s="50"/>
    </row>
    <row r="25" spans="3:44" ht="12" customHeight="1" x14ac:dyDescent="0.3">
      <c r="C25" s="46" cm="1">
        <f t="array" ref="C25">IF(C24=-1,-1,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25</v>
      </c>
      <c r="D25" s="47">
        <f t="shared" si="0"/>
        <v>22</v>
      </c>
      <c r="E25" s="46" cm="1">
        <f t="array" ref="E25">1*OR(row_id=income_header_row,row_id=expenses_header_row,row_id=savings_header_row)</f>
        <v>0</v>
      </c>
      <c r="F25" s="1">
        <f t="shared" si="1"/>
        <v>1</v>
      </c>
      <c r="G25" s="1" cm="1">
        <f t="array" ref="G25">1*OR(row_id=income_total_row,row_id=expenses_total_row,row_id=savings_total_row)</f>
        <v>0</v>
      </c>
      <c r="H25" s="47">
        <f t="shared" si="2"/>
        <v>0</v>
      </c>
      <c r="I25" s="46" t="str" cm="1">
        <f t="array" ref="I25">IFERROR(INDEX('Budget Planning'!C:C,header_row_id),"")</f>
        <v>Expenses</v>
      </c>
      <c r="J25" s="1" t="str" cm="1">
        <f t="array" ref="J25">IFERROR(INDEX('Budget Planning'!C:C,row_id),"")</f>
        <v>Anna misc.</v>
      </c>
      <c r="K25" s="64" cm="1">
        <f t="array" aca="1" ref="K25"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5" s="68" cm="1">
        <f t="array" aca="1" ref="L25" ca="1">IF(OR(is_header,is_empty),"",
  INDEX('Budget Planning'!$E:$CI,row_id,
      MATCH(IF(selected_period="Total Year",selected_year,DATE(selected_year,selected_period,1)),'Budget Planning'!$E$9:$CI$9,0)))</f>
        <v>200</v>
      </c>
      <c r="M25" s="46" cm="1">
        <f t="array" ref="M25">IF(is_category,
  IF(header_row_id=income_header_row,MATCH(income_min_row, $C:$C,0),
  IF(header_row_id=expenses_header_row,MATCH(expenses_min_row, $C:$C,0),
  IF(header_row_id=savings_header_row,MATCH(savings_min_row, $C:$C,0),""))),
 "")</f>
        <v>23</v>
      </c>
      <c r="N25" s="47" cm="1">
        <f t="array" ref="N25">IF(is_category,
  IF(header_row_id=income_header_row,MATCH(income_max_row, $C:$C,0),
  IF(header_row_id=expenses_header_row,MATCH(expenses_max_row, $C:$C,0),
  IF(header_row_id=savings_header_row,MATCH(savings_max_row, $C:$C,0),""))),
 "")</f>
        <v>31</v>
      </c>
      <c r="O25" s="46" t="str">
        <f t="shared" si="3"/>
        <v>$K$23:$K$31</v>
      </c>
      <c r="P25" s="1">
        <f t="shared" ca="1" si="4"/>
        <v>4</v>
      </c>
      <c r="Q25" s="1" t="str">
        <f t="shared" si="5"/>
        <v>$L$23:$L$31</v>
      </c>
      <c r="R25" s="47">
        <f t="shared" ca="1" si="6"/>
        <v>2</v>
      </c>
      <c r="S25" s="46">
        <f t="shared" ca="1" si="7"/>
        <v>42</v>
      </c>
      <c r="T25" s="1" t="str">
        <f t="shared" si="8"/>
        <v>$S$23:$S$31</v>
      </c>
      <c r="U25" s="1">
        <f t="shared" ca="1" si="9"/>
        <v>4</v>
      </c>
      <c r="V25" s="1" t="str">
        <f t="shared" si="10"/>
        <v>$U$23:$U$25</v>
      </c>
      <c r="W25" s="47">
        <f t="shared" ca="1" si="11"/>
        <v>4</v>
      </c>
      <c r="X25" s="70">
        <f t="shared" ca="1" si="12"/>
        <v>26</v>
      </c>
      <c r="Y25" s="74" t="str">
        <f t="shared" ca="1" si="13"/>
        <v>Trips/Outings</v>
      </c>
      <c r="Z25" s="135">
        <f t="shared" ca="1" si="14"/>
        <v>10</v>
      </c>
      <c r="AA25" s="135">
        <f t="shared" ca="1" si="15"/>
        <v>200</v>
      </c>
      <c r="AB25" s="76">
        <f t="shared" ca="1" si="16"/>
        <v>0.05</v>
      </c>
      <c r="AC25" s="135">
        <f t="shared" ca="1" si="17"/>
        <v>190</v>
      </c>
      <c r="AD25" s="135">
        <f t="shared" ca="1" si="18"/>
        <v>0</v>
      </c>
      <c r="AK25" s="95"/>
      <c r="AL25" s="92"/>
    </row>
    <row r="26" spans="3:44" x14ac:dyDescent="0.3">
      <c r="C26" s="46" cm="1">
        <f t="array" ref="C26">IF(C25=-1,-1,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26</v>
      </c>
      <c r="D26" s="47">
        <f t="shared" si="0"/>
        <v>22</v>
      </c>
      <c r="E26" s="46" cm="1">
        <f t="array" ref="E26">1*OR(row_id=income_header_row,row_id=expenses_header_row,row_id=savings_header_row)</f>
        <v>0</v>
      </c>
      <c r="F26" s="1">
        <f t="shared" si="1"/>
        <v>1</v>
      </c>
      <c r="G26" s="1" cm="1">
        <f t="array" ref="G26">1*OR(row_id=income_total_row,row_id=expenses_total_row,row_id=savings_total_row)</f>
        <v>0</v>
      </c>
      <c r="H26" s="47">
        <f t="shared" si="2"/>
        <v>0</v>
      </c>
      <c r="I26" s="46" t="str" cm="1">
        <f t="array" ref="I26">IFERROR(INDEX('Budget Planning'!C:C,header_row_id),"")</f>
        <v>Expenses</v>
      </c>
      <c r="J26" s="1" t="str" cm="1">
        <f t="array" ref="J26">IFERROR(INDEX('Budget Planning'!C:C,row_id),"")</f>
        <v>Media</v>
      </c>
      <c r="K26" s="64" cm="1">
        <f t="array" aca="1" ref="K26"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16.18</v>
      </c>
      <c r="L26" s="68" cm="1">
        <f t="array" aca="1" ref="L26" ca="1">IF(OR(is_header,is_empty),"",
  INDEX('Budget Planning'!$E:$CI,row_id,
      MATCH(IF(selected_period="Total Year",selected_year,DATE(selected_year,selected_period,1)),'Budget Planning'!$E$9:$CI$9,0)))</f>
        <v>15</v>
      </c>
      <c r="M26" s="46" cm="1">
        <f t="array" ref="M26">IF(is_category,
  IF(header_row_id=income_header_row,MATCH(income_min_row, $C:$C,0),
  IF(header_row_id=expenses_header_row,MATCH(expenses_min_row, $C:$C,0),
  IF(header_row_id=savings_header_row,MATCH(savings_min_row, $C:$C,0),""))),
 "")</f>
        <v>23</v>
      </c>
      <c r="N26" s="47" cm="1">
        <f t="array" ref="N26">IF(is_category,
  IF(header_row_id=income_header_row,MATCH(income_max_row, $C:$C,0),
  IF(header_row_id=expenses_header_row,MATCH(expenses_max_row, $C:$C,0),
  IF(header_row_id=savings_header_row,MATCH(savings_max_row, $C:$C,0),""))),
 "")</f>
        <v>31</v>
      </c>
      <c r="O26" s="46" t="str">
        <f t="shared" si="3"/>
        <v>$K$23:$K$31</v>
      </c>
      <c r="P26" s="1">
        <f t="shared" ca="1" si="4"/>
        <v>2</v>
      </c>
      <c r="Q26" s="1" t="str">
        <f t="shared" si="5"/>
        <v>$L$23:$L$31</v>
      </c>
      <c r="R26" s="47">
        <f t="shared" ca="1" si="6"/>
        <v>6</v>
      </c>
      <c r="S26" s="46">
        <f t="shared" ca="1" si="7"/>
        <v>26</v>
      </c>
      <c r="T26" s="1" t="str">
        <f t="shared" si="8"/>
        <v>$S$23:$S$31</v>
      </c>
      <c r="U26" s="1">
        <f t="shared" ca="1" si="9"/>
        <v>2</v>
      </c>
      <c r="V26" s="1" t="str">
        <f t="shared" si="10"/>
        <v>$U$23:$U$26</v>
      </c>
      <c r="W26" s="47">
        <f t="shared" ca="1" si="11"/>
        <v>2</v>
      </c>
      <c r="X26" s="70">
        <f t="shared" ca="1" si="12"/>
        <v>24</v>
      </c>
      <c r="Y26" s="74" t="str">
        <f t="shared" ca="1" si="13"/>
        <v>Anna misc.</v>
      </c>
      <c r="Z26" s="135">
        <f t="shared" ca="1" si="14"/>
        <v>0</v>
      </c>
      <c r="AA26" s="135">
        <f t="shared" ca="1" si="15"/>
        <v>200</v>
      </c>
      <c r="AB26" s="76">
        <f t="shared" ca="1" si="16"/>
        <v>0</v>
      </c>
      <c r="AC26" s="135">
        <f t="shared" ca="1" si="17"/>
        <v>200</v>
      </c>
      <c r="AD26" s="135">
        <f t="shared" ca="1" si="18"/>
        <v>0</v>
      </c>
      <c r="AF26" s="78"/>
      <c r="AG26" s="79"/>
      <c r="AH26" s="79"/>
      <c r="AI26" s="79"/>
      <c r="AJ26" s="127"/>
      <c r="AM26" s="78"/>
      <c r="AN26" s="79"/>
      <c r="AO26" s="79"/>
      <c r="AP26" s="79"/>
      <c r="AQ26" s="127"/>
      <c r="AR26" s="92"/>
    </row>
    <row r="27" spans="3:44" x14ac:dyDescent="0.3">
      <c r="C27" s="46" cm="1">
        <f t="array" ref="C27">IF(C26=-1,-1,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27</v>
      </c>
      <c r="D27" s="47">
        <f t="shared" si="0"/>
        <v>22</v>
      </c>
      <c r="E27" s="46" cm="1">
        <f t="array" ref="E27">1*OR(row_id=income_header_row,row_id=expenses_header_row,row_id=savings_header_row)</f>
        <v>0</v>
      </c>
      <c r="F27" s="1">
        <f t="shared" si="1"/>
        <v>1</v>
      </c>
      <c r="G27" s="1" cm="1">
        <f t="array" ref="G27">1*OR(row_id=income_total_row,row_id=expenses_total_row,row_id=savings_total_row)</f>
        <v>0</v>
      </c>
      <c r="H27" s="47">
        <f t="shared" si="2"/>
        <v>0</v>
      </c>
      <c r="I27" s="46" t="str" cm="1">
        <f t="array" ref="I27">IFERROR(INDEX('Budget Planning'!C:C,header_row_id),"")</f>
        <v>Expenses</v>
      </c>
      <c r="J27" s="1" t="str" cm="1">
        <f t="array" ref="J27">IFERROR(INDEX('Budget Planning'!C:C,row_id),"")</f>
        <v>Miscellaneous</v>
      </c>
      <c r="K27" s="64" cm="1">
        <f t="array" aca="1" ref="K27"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7" s="68" cm="1">
        <f t="array" aca="1" ref="L27" ca="1">IF(OR(is_header,is_empty),"",
  INDEX('Budget Planning'!$E:$CI,row_id,
      MATCH(IF(selected_period="Total Year",selected_year,DATE(selected_year,selected_period,1)),'Budget Planning'!$E$9:$CI$9,0)))</f>
        <v>200</v>
      </c>
      <c r="M27" s="46" cm="1">
        <f t="array" ref="M27">IF(is_category,
  IF(header_row_id=income_header_row,MATCH(income_min_row, $C:$C,0),
  IF(header_row_id=expenses_header_row,MATCH(expenses_min_row, $C:$C,0),
  IF(header_row_id=savings_header_row,MATCH(savings_min_row, $C:$C,0),""))),
 "")</f>
        <v>23</v>
      </c>
      <c r="N27" s="47" cm="1">
        <f t="array" ref="N27">IF(is_category,
  IF(header_row_id=income_header_row,MATCH(income_max_row, $C:$C,0),
  IF(header_row_id=expenses_header_row,MATCH(expenses_max_row, $C:$C,0),
  IF(header_row_id=savings_header_row,MATCH(savings_max_row, $C:$C,0),""))),
 "")</f>
        <v>31</v>
      </c>
      <c r="O27" s="46" t="str">
        <f t="shared" si="3"/>
        <v>$K$23:$K$31</v>
      </c>
      <c r="P27" s="1">
        <f t="shared" ca="1" si="4"/>
        <v>4</v>
      </c>
      <c r="Q27" s="1" t="str">
        <f t="shared" si="5"/>
        <v>$L$23:$L$31</v>
      </c>
      <c r="R27" s="47">
        <f t="shared" ca="1" si="6"/>
        <v>2</v>
      </c>
      <c r="S27" s="46">
        <f t="shared" ca="1" si="7"/>
        <v>42</v>
      </c>
      <c r="T27" s="1" t="str">
        <f t="shared" si="8"/>
        <v>$S$23:$S$31</v>
      </c>
      <c r="U27" s="1">
        <f t="shared" ca="1" si="9"/>
        <v>4</v>
      </c>
      <c r="V27" s="1" t="str">
        <f t="shared" si="10"/>
        <v>$U$23:$U$27</v>
      </c>
      <c r="W27" s="47">
        <f t="shared" ca="1" si="11"/>
        <v>5</v>
      </c>
      <c r="X27" s="70">
        <f t="shared" ca="1" si="12"/>
        <v>27</v>
      </c>
      <c r="Y27" s="74" t="str">
        <f t="shared" ca="1" si="13"/>
        <v>Miscellaneous</v>
      </c>
      <c r="Z27" s="135">
        <f t="shared" ca="1" si="14"/>
        <v>0</v>
      </c>
      <c r="AA27" s="135">
        <f t="shared" ca="1" si="15"/>
        <v>200</v>
      </c>
      <c r="AB27" s="76">
        <f t="shared" ca="1" si="16"/>
        <v>0</v>
      </c>
      <c r="AC27" s="135">
        <f t="shared" ca="1" si="17"/>
        <v>200</v>
      </c>
      <c r="AD27" s="135">
        <f t="shared" ca="1" si="18"/>
        <v>0</v>
      </c>
      <c r="AF27" s="46"/>
      <c r="AK27" s="93"/>
      <c r="AM27" s="46"/>
      <c r="AR27" s="93"/>
    </row>
    <row r="28" spans="3:44" x14ac:dyDescent="0.3">
      <c r="C28" s="46" cm="1">
        <f t="array" ref="C28">IF(C27=-1,-1,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28</v>
      </c>
      <c r="D28" s="47">
        <f t="shared" si="0"/>
        <v>22</v>
      </c>
      <c r="E28" s="46" cm="1">
        <f t="array" ref="E28">1*OR(row_id=income_header_row,row_id=expenses_header_row,row_id=savings_header_row)</f>
        <v>0</v>
      </c>
      <c r="F28" s="1">
        <f t="shared" si="1"/>
        <v>1</v>
      </c>
      <c r="G28" s="1" cm="1">
        <f t="array" ref="G28">1*OR(row_id=income_total_row,row_id=expenses_total_row,row_id=savings_total_row)</f>
        <v>0</v>
      </c>
      <c r="H28" s="47">
        <f t="shared" si="2"/>
        <v>0</v>
      </c>
      <c r="I28" s="46" t="str" cm="1">
        <f t="array" ref="I28">IFERROR(INDEX('Budget Planning'!C:C,header_row_id),"")</f>
        <v>Expenses</v>
      </c>
      <c r="J28" s="1" t="str" cm="1">
        <f t="array" ref="J28">IFERROR(INDEX('Budget Planning'!C:C,row_id),"")</f>
        <v>Textbook</v>
      </c>
      <c r="K28" s="64" cm="1">
        <f t="array" aca="1" ref="K28"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8" s="68" cm="1">
        <f t="array" aca="1" ref="L28" ca="1">IF(OR(is_header,is_empty),"",
  INDEX('Budget Planning'!$E:$CI,row_id,
      MATCH(IF(selected_period="Total Year",selected_year,DATE(selected_year,selected_period,1)),'Budget Planning'!$E$9:$CI$9,0)))</f>
        <v>0</v>
      </c>
      <c r="M28" s="46" cm="1">
        <f t="array" ref="M28">IF(is_category,
  IF(header_row_id=income_header_row,MATCH(income_min_row, $C:$C,0),
  IF(header_row_id=expenses_header_row,MATCH(expenses_min_row, $C:$C,0),
  IF(header_row_id=savings_header_row,MATCH(savings_min_row, $C:$C,0),""))),
 "")</f>
        <v>23</v>
      </c>
      <c r="N28" s="47" cm="1">
        <f t="array" ref="N28">IF(is_category,
  IF(header_row_id=income_header_row,MATCH(income_max_row, $C:$C,0),
  IF(header_row_id=expenses_header_row,MATCH(expenses_max_row, $C:$C,0),
  IF(header_row_id=savings_header_row,MATCH(savings_max_row, $C:$C,0),""))),
 "")</f>
        <v>31</v>
      </c>
      <c r="O28" s="46" t="str">
        <f t="shared" si="3"/>
        <v>$K$23:$K$31</v>
      </c>
      <c r="P28" s="1">
        <f t="shared" ca="1" si="4"/>
        <v>4</v>
      </c>
      <c r="Q28" s="1" t="str">
        <f t="shared" si="5"/>
        <v>$L$23:$L$31</v>
      </c>
      <c r="R28" s="47">
        <f t="shared" ca="1" si="6"/>
        <v>7</v>
      </c>
      <c r="S28" s="46">
        <f t="shared" ca="1" si="7"/>
        <v>47</v>
      </c>
      <c r="T28" s="1" t="str">
        <f t="shared" si="8"/>
        <v>$S$23:$S$31</v>
      </c>
      <c r="U28" s="1">
        <f t="shared" ca="1" si="9"/>
        <v>7</v>
      </c>
      <c r="V28" s="1" t="str">
        <f t="shared" si="10"/>
        <v>$U$23:$U$28</v>
      </c>
      <c r="W28" s="47">
        <f t="shared" ca="1" si="11"/>
        <v>8</v>
      </c>
      <c r="X28" s="70">
        <f t="shared" ca="1" si="12"/>
        <v>30</v>
      </c>
      <c r="Y28" s="74" t="str">
        <f t="shared" ca="1" si="13"/>
        <v>muay thai</v>
      </c>
      <c r="Z28" s="135">
        <f t="shared" ca="1" si="14"/>
        <v>0</v>
      </c>
      <c r="AA28" s="135">
        <f t="shared" ca="1" si="15"/>
        <v>150</v>
      </c>
      <c r="AB28" s="76">
        <f t="shared" ca="1" si="16"/>
        <v>0</v>
      </c>
      <c r="AC28" s="135">
        <f t="shared" ca="1" si="17"/>
        <v>150</v>
      </c>
      <c r="AD28" s="135">
        <f t="shared" ca="1" si="18"/>
        <v>0</v>
      </c>
      <c r="AF28" s="46"/>
      <c r="AK28" s="93"/>
      <c r="AM28" s="46"/>
      <c r="AR28" s="93"/>
    </row>
    <row r="29" spans="3:44" x14ac:dyDescent="0.3">
      <c r="C29" s="46" cm="1">
        <f t="array" ref="C29">IF(C28=-1,-1,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29</v>
      </c>
      <c r="D29" s="47">
        <f t="shared" si="0"/>
        <v>22</v>
      </c>
      <c r="E29" s="46" cm="1">
        <f t="array" ref="E29">1*OR(row_id=income_header_row,row_id=expenses_header_row,row_id=savings_header_row)</f>
        <v>0</v>
      </c>
      <c r="F29" s="1">
        <f t="shared" si="1"/>
        <v>1</v>
      </c>
      <c r="G29" s="1" cm="1">
        <f t="array" ref="G29">1*OR(row_id=income_total_row,row_id=expenses_total_row,row_id=savings_total_row)</f>
        <v>0</v>
      </c>
      <c r="H29" s="47">
        <f t="shared" si="2"/>
        <v>0</v>
      </c>
      <c r="I29" s="46" t="str" cm="1">
        <f t="array" ref="I29">IFERROR(INDEX('Budget Planning'!C:C,header_row_id),"")</f>
        <v>Expenses</v>
      </c>
      <c r="J29" s="1" t="str" cm="1">
        <f t="array" ref="J29">IFERROR(INDEX('Budget Planning'!C:C,row_id),"")</f>
        <v>muay thai</v>
      </c>
      <c r="K29" s="64" cm="1">
        <f t="array" aca="1" ref="K29"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9" s="68" cm="1">
        <f t="array" aca="1" ref="L29" ca="1">IF(OR(is_header,is_empty),"",
  INDEX('Budget Planning'!$E:$CI,row_id,
      MATCH(IF(selected_period="Total Year",selected_year,DATE(selected_year,selected_period,1)),'Budget Planning'!$E$9:$CI$9,0)))</f>
        <v>150</v>
      </c>
      <c r="M29" s="46" cm="1">
        <f t="array" ref="M29">IF(is_category,
  IF(header_row_id=income_header_row,MATCH(income_min_row, $C:$C,0),
  IF(header_row_id=expenses_header_row,MATCH(expenses_min_row, $C:$C,0),
  IF(header_row_id=savings_header_row,MATCH(savings_min_row, $C:$C,0),""))),
 "")</f>
        <v>23</v>
      </c>
      <c r="N29" s="47" cm="1">
        <f t="array" ref="N29">IF(is_category,
  IF(header_row_id=income_header_row,MATCH(income_max_row, $C:$C,0),
  IF(header_row_id=expenses_header_row,MATCH(expenses_max_row, $C:$C,0),
  IF(header_row_id=savings_header_row,MATCH(savings_max_row, $C:$C,0),""))),
 "")</f>
        <v>31</v>
      </c>
      <c r="O29" s="46" t="str">
        <f t="shared" si="3"/>
        <v>$K$23:$K$31</v>
      </c>
      <c r="P29" s="1">
        <f t="shared" ca="1" si="4"/>
        <v>4</v>
      </c>
      <c r="Q29" s="1" t="str">
        <f t="shared" si="5"/>
        <v>$L$23:$L$31</v>
      </c>
      <c r="R29" s="47">
        <f t="shared" ca="1" si="6"/>
        <v>5</v>
      </c>
      <c r="S29" s="46">
        <f t="shared" ca="1" si="7"/>
        <v>45</v>
      </c>
      <c r="T29" s="1" t="str">
        <f t="shared" si="8"/>
        <v>$S$23:$S$31</v>
      </c>
      <c r="U29" s="1">
        <f t="shared" ca="1" si="9"/>
        <v>6</v>
      </c>
      <c r="V29" s="1" t="str">
        <f t="shared" si="10"/>
        <v>$U$23:$U$29</v>
      </c>
      <c r="W29" s="47">
        <f t="shared" ca="1" si="11"/>
        <v>6</v>
      </c>
      <c r="X29" s="70">
        <f t="shared" ca="1" si="12"/>
        <v>28</v>
      </c>
      <c r="Y29" s="74" t="str">
        <f t="shared" ca="1" si="13"/>
        <v>Groceries</v>
      </c>
      <c r="Z29" s="135">
        <f t="shared" ca="1" si="14"/>
        <v>0</v>
      </c>
      <c r="AA29" s="135">
        <f t="shared" ca="1" si="15"/>
        <v>0</v>
      </c>
      <c r="AB29" s="76" t="str">
        <f t="shared" ca="1" si="16"/>
        <v>-</v>
      </c>
      <c r="AC29" s="135">
        <f t="shared" ca="1" si="17"/>
        <v>0</v>
      </c>
      <c r="AD29" s="135">
        <f t="shared" ca="1" si="18"/>
        <v>0</v>
      </c>
      <c r="AF29" s="46"/>
      <c r="AI29" s="90" t="str">
        <f ca="1">Calculations!I35</f>
        <v>Food</v>
      </c>
      <c r="AJ29" s="128">
        <f ca="1">Calculations!J35</f>
        <v>73.97</v>
      </c>
      <c r="AK29" s="93"/>
      <c r="AM29" s="46"/>
      <c r="AP29" s="90" t="str">
        <f ca="1">Calculations!M35</f>
        <v/>
      </c>
      <c r="AQ29" s="128" t="str">
        <f ca="1">Calculations!N35</f>
        <v/>
      </c>
      <c r="AR29" s="93"/>
    </row>
    <row r="30" spans="3:44" x14ac:dyDescent="0.3">
      <c r="C30" s="46" cm="1">
        <f t="array" ref="C30">IF(C29=-1,-1,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30</v>
      </c>
      <c r="D30" s="47">
        <f t="shared" si="0"/>
        <v>22</v>
      </c>
      <c r="E30" s="46" cm="1">
        <f t="array" ref="E30">1*OR(row_id=income_header_row,row_id=expenses_header_row,row_id=savings_header_row)</f>
        <v>0</v>
      </c>
      <c r="F30" s="1">
        <f t="shared" si="1"/>
        <v>1</v>
      </c>
      <c r="G30" s="1" cm="1">
        <f t="array" ref="G30">1*OR(row_id=income_total_row,row_id=expenses_total_row,row_id=savings_total_row)</f>
        <v>0</v>
      </c>
      <c r="H30" s="47">
        <f t="shared" si="2"/>
        <v>0</v>
      </c>
      <c r="I30" s="46" t="str" cm="1">
        <f t="array" ref="I30">IFERROR(INDEX('Budget Planning'!C:C,header_row_id),"")</f>
        <v>Expenses</v>
      </c>
      <c r="J30" s="1" t="str" cm="1">
        <f t="array" ref="J30">IFERROR(INDEX('Budget Planning'!C:C,row_id),"")</f>
        <v>Trips/Outings</v>
      </c>
      <c r="K30" s="64" cm="1">
        <f t="array" aca="1" ref="K30"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10</v>
      </c>
      <c r="L30" s="68" cm="1">
        <f t="array" aca="1" ref="L30" ca="1">IF(OR(is_header,is_empty),"",
  INDEX('Budget Planning'!$E:$CI,row_id,
      MATCH(IF(selected_period="Total Year",selected_year,DATE(selected_year,selected_period,1)),'Budget Planning'!$E$9:$CI$9,0)))</f>
        <v>200</v>
      </c>
      <c r="M30" s="46" cm="1">
        <f t="array" ref="M30">IF(is_category,
  IF(header_row_id=income_header_row,MATCH(income_min_row, $C:$C,0),
  IF(header_row_id=expenses_header_row,MATCH(expenses_min_row, $C:$C,0),
  IF(header_row_id=savings_header_row,MATCH(savings_min_row, $C:$C,0),""))),
 "")</f>
        <v>23</v>
      </c>
      <c r="N30" s="47" cm="1">
        <f t="array" ref="N30">IF(is_category,
  IF(header_row_id=income_header_row,MATCH(income_max_row, $C:$C,0),
  IF(header_row_id=expenses_header_row,MATCH(expenses_max_row, $C:$C,0),
  IF(header_row_id=savings_header_row,MATCH(savings_max_row, $C:$C,0),""))),
 "")</f>
        <v>31</v>
      </c>
      <c r="O30" s="46" t="str">
        <f t="shared" si="3"/>
        <v>$K$23:$K$31</v>
      </c>
      <c r="P30" s="1">
        <f t="shared" ca="1" si="4"/>
        <v>3</v>
      </c>
      <c r="Q30" s="1" t="str">
        <f t="shared" si="5"/>
        <v>$L$23:$L$31</v>
      </c>
      <c r="R30" s="47">
        <f t="shared" ca="1" si="6"/>
        <v>2</v>
      </c>
      <c r="S30" s="46">
        <f t="shared" ca="1" si="7"/>
        <v>32</v>
      </c>
      <c r="T30" s="1" t="str">
        <f t="shared" si="8"/>
        <v>$S$23:$S$31</v>
      </c>
      <c r="U30" s="1">
        <f t="shared" ca="1" si="9"/>
        <v>3</v>
      </c>
      <c r="V30" s="1" t="str">
        <f t="shared" si="10"/>
        <v>$U$23:$U$30</v>
      </c>
      <c r="W30" s="47">
        <f t="shared" ca="1" si="11"/>
        <v>3</v>
      </c>
      <c r="X30" s="70">
        <f t="shared" ca="1" si="12"/>
        <v>25</v>
      </c>
      <c r="Y30" s="74" t="str">
        <f t="shared" ca="1" si="13"/>
        <v>Textbook</v>
      </c>
      <c r="Z30" s="135">
        <f t="shared" ca="1" si="14"/>
        <v>0</v>
      </c>
      <c r="AA30" s="135">
        <f t="shared" ca="1" si="15"/>
        <v>0</v>
      </c>
      <c r="AB30" s="76" t="str">
        <f t="shared" ca="1" si="16"/>
        <v>-</v>
      </c>
      <c r="AC30" s="135">
        <f t="shared" ca="1" si="17"/>
        <v>0</v>
      </c>
      <c r="AD30" s="135">
        <f t="shared" ca="1" si="18"/>
        <v>0</v>
      </c>
      <c r="AF30" s="46"/>
      <c r="AI30" s="90" t="str">
        <f ca="1">Calculations!I36</f>
        <v>Media</v>
      </c>
      <c r="AJ30" s="128">
        <f ca="1">Calculations!J36</f>
        <v>16.18</v>
      </c>
      <c r="AK30" s="93"/>
      <c r="AM30" s="46"/>
      <c r="AP30" s="90" t="str">
        <f ca="1">Calculations!M36</f>
        <v/>
      </c>
      <c r="AQ30" s="128" t="str">
        <f ca="1">Calculations!N36</f>
        <v/>
      </c>
      <c r="AR30" s="93"/>
    </row>
    <row r="31" spans="3:44" x14ac:dyDescent="0.3">
      <c r="C31" s="46" cm="1">
        <f t="array" ref="C31">IF(C30=-1,-1,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31</v>
      </c>
      <c r="D31" s="47">
        <f t="shared" si="0"/>
        <v>22</v>
      </c>
      <c r="E31" s="46" cm="1">
        <f t="array" ref="E31">1*OR(row_id=income_header_row,row_id=expenses_header_row,row_id=savings_header_row)</f>
        <v>0</v>
      </c>
      <c r="F31" s="1">
        <f t="shared" si="1"/>
        <v>1</v>
      </c>
      <c r="G31" s="1" cm="1">
        <f t="array" ref="G31">1*OR(row_id=income_total_row,row_id=expenses_total_row,row_id=savings_total_row)</f>
        <v>0</v>
      </c>
      <c r="H31" s="47">
        <f t="shared" si="2"/>
        <v>0</v>
      </c>
      <c r="I31" s="46" t="str" cm="1">
        <f t="array" ref="I31">IFERROR(INDEX('Budget Planning'!C:C,header_row_id),"")</f>
        <v>Expenses</v>
      </c>
      <c r="J31" s="1" t="str" cm="1">
        <f t="array" ref="J31">IFERROR(INDEX('Budget Planning'!C:C,row_id),"")</f>
        <v>Ring</v>
      </c>
      <c r="K31" s="64" cm="1">
        <f t="array" aca="1" ref="K31"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1" s="68" cm="1">
        <f t="array" aca="1" ref="L31" ca="1">IF(OR(is_header,is_empty),"",
  INDEX('Budget Planning'!$E:$CI,row_id,
      MATCH(IF(selected_period="Total Year",selected_year,DATE(selected_year,selected_period,1)),'Budget Planning'!$E$9:$CI$9,0)))</f>
        <v>0</v>
      </c>
      <c r="M31" s="46" cm="1">
        <f t="array" ref="M31">IF(is_category,
  IF(header_row_id=income_header_row,MATCH(income_min_row, $C:$C,0),
  IF(header_row_id=expenses_header_row,MATCH(expenses_min_row, $C:$C,0),
  IF(header_row_id=savings_header_row,MATCH(savings_min_row, $C:$C,0),""))),
 "")</f>
        <v>23</v>
      </c>
      <c r="N31" s="47" cm="1">
        <f t="array" ref="N31">IF(is_category,
  IF(header_row_id=income_header_row,MATCH(income_max_row, $C:$C,0),
  IF(header_row_id=expenses_header_row,MATCH(expenses_max_row, $C:$C,0),
  IF(header_row_id=savings_header_row,MATCH(savings_max_row, $C:$C,0),""))),
 "")</f>
        <v>31</v>
      </c>
      <c r="O31" s="46" t="str">
        <f t="shared" si="3"/>
        <v>$K$23:$K$31</v>
      </c>
      <c r="P31" s="1">
        <f t="shared" ca="1" si="4"/>
        <v>4</v>
      </c>
      <c r="Q31" s="1" t="str">
        <f t="shared" si="5"/>
        <v>$L$23:$L$31</v>
      </c>
      <c r="R31" s="47">
        <f t="shared" ca="1" si="6"/>
        <v>7</v>
      </c>
      <c r="S31" s="46">
        <f t="shared" ca="1" si="7"/>
        <v>47</v>
      </c>
      <c r="T31" s="1" t="str">
        <f t="shared" si="8"/>
        <v>$S$23:$S$31</v>
      </c>
      <c r="U31" s="1">
        <f t="shared" ca="1" si="9"/>
        <v>7</v>
      </c>
      <c r="V31" s="1" t="str">
        <f t="shared" si="10"/>
        <v>$U$23:$U$31</v>
      </c>
      <c r="W31" s="47">
        <f t="shared" ca="1" si="11"/>
        <v>9</v>
      </c>
      <c r="X31" s="70">
        <f t="shared" ca="1" si="12"/>
        <v>31</v>
      </c>
      <c r="Y31" s="74" t="str">
        <f t="shared" ca="1" si="13"/>
        <v>Ring</v>
      </c>
      <c r="Z31" s="135">
        <f t="shared" ca="1" si="14"/>
        <v>0</v>
      </c>
      <c r="AA31" s="135">
        <f t="shared" ca="1" si="15"/>
        <v>0</v>
      </c>
      <c r="AB31" s="76" t="str">
        <f t="shared" ca="1" si="16"/>
        <v>-</v>
      </c>
      <c r="AC31" s="135">
        <f t="shared" ca="1" si="17"/>
        <v>0</v>
      </c>
      <c r="AD31" s="135">
        <f t="shared" ca="1" si="18"/>
        <v>0</v>
      </c>
      <c r="AF31" s="46"/>
      <c r="AI31" s="90" t="str">
        <f ca="1">Calculations!I37</f>
        <v>Trips/Outings</v>
      </c>
      <c r="AJ31" s="128">
        <f ca="1">Calculations!J37</f>
        <v>10</v>
      </c>
      <c r="AK31" s="93"/>
      <c r="AM31" s="46"/>
      <c r="AP31" s="90" t="str">
        <f ca="1">Calculations!M37</f>
        <v/>
      </c>
      <c r="AQ31" s="128" t="str">
        <f ca="1">Calculations!N37</f>
        <v/>
      </c>
      <c r="AR31" s="93"/>
    </row>
    <row r="32" spans="3:44" x14ac:dyDescent="0.3">
      <c r="C32" s="46" cm="1">
        <f t="array" ref="C32">IF(C31=-1,-1,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33</v>
      </c>
      <c r="D32" s="47">
        <f t="shared" si="0"/>
        <v>22</v>
      </c>
      <c r="E32" s="46" cm="1">
        <f t="array" ref="E32">1*OR(row_id=income_header_row,row_id=expenses_header_row,row_id=savings_header_row)</f>
        <v>0</v>
      </c>
      <c r="F32" s="1">
        <f t="shared" si="1"/>
        <v>0</v>
      </c>
      <c r="G32" s="1" cm="1">
        <f t="array" ref="G32">1*OR(row_id=income_total_row,row_id=expenses_total_row,row_id=savings_total_row)</f>
        <v>1</v>
      </c>
      <c r="H32" s="47">
        <f t="shared" si="2"/>
        <v>0</v>
      </c>
      <c r="I32" s="46" t="str" cm="1">
        <f t="array" ref="I32">IFERROR(INDEX('Budget Planning'!C:C,header_row_id),"")</f>
        <v>Expenses</v>
      </c>
      <c r="J32" s="1" t="str" cm="1">
        <f t="array" ref="J32">IFERROR(INDEX('Budget Planning'!C:C,row_id),"")</f>
        <v>Total</v>
      </c>
      <c r="K32" s="64" cm="1">
        <f t="array" aca="1" ref="K32"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198.93</v>
      </c>
      <c r="L32" s="68" cm="1">
        <f t="array" aca="1" ref="L32" ca="1">IF(OR(is_header,is_empty),"",
  INDEX('Budget Planning'!$E:$CI,row_id,
      MATCH(IF(selected_period="Total Year",selected_year,DATE(selected_year,selected_period,1)),'Budget Planning'!$E$9:$CI$9,0)))</f>
        <v>1065</v>
      </c>
      <c r="M32" s="46" t="str" cm="1">
        <f t="array" ref="M32">IF(is_category,
  IF(header_row_id=income_header_row,MATCH(income_min_row, $C:$C,0),
  IF(header_row_id=expenses_header_row,MATCH(expenses_min_row, $C:$C,0),
  IF(header_row_id=savings_header_row,MATCH(savings_min_row, $C:$C,0),""))),
 "")</f>
        <v/>
      </c>
      <c r="N32" s="47" t="str" cm="1">
        <f t="array" ref="N32">IF(is_category,
  IF(header_row_id=income_header_row,MATCH(income_max_row, $C:$C,0),
  IF(header_row_id=expenses_header_row,MATCH(expenses_max_row, $C:$C,0),
  IF(header_row_id=savings_header_row,MATCH(savings_max_row, $C:$C,0),""))),
 "")</f>
        <v/>
      </c>
      <c r="O32" s="46" t="str">
        <f t="shared" si="3"/>
        <v/>
      </c>
      <c r="P32" s="1" t="str">
        <f t="shared" ca="1" si="4"/>
        <v/>
      </c>
      <c r="Q32" s="1" t="str">
        <f t="shared" si="5"/>
        <v/>
      </c>
      <c r="R32" s="47" t="str">
        <f t="shared" ca="1" si="6"/>
        <v/>
      </c>
      <c r="S32" s="46" t="str">
        <f t="shared" si="7"/>
        <v/>
      </c>
      <c r="T32" s="1" t="str">
        <f t="shared" si="8"/>
        <v/>
      </c>
      <c r="U32" s="1" t="str">
        <f t="shared" ca="1" si="9"/>
        <v/>
      </c>
      <c r="V32" s="1" t="str">
        <f t="shared" si="10"/>
        <v/>
      </c>
      <c r="W32" s="47" t="str">
        <f t="shared" ca="1" si="11"/>
        <v/>
      </c>
      <c r="X32" s="70">
        <f t="shared" si="12"/>
        <v>33</v>
      </c>
      <c r="Y32" s="74" t="str">
        <f t="shared" ca="1" si="13"/>
        <v>Total</v>
      </c>
      <c r="Z32" s="135">
        <f t="shared" ca="1" si="14"/>
        <v>198.93</v>
      </c>
      <c r="AA32" s="135">
        <f t="shared" ca="1" si="15"/>
        <v>1065</v>
      </c>
      <c r="AB32" s="76">
        <f t="shared" ca="1" si="16"/>
        <v>0.18678873239436619</v>
      </c>
      <c r="AC32" s="135">
        <f t="shared" ca="1" si="17"/>
        <v>866.06999999999994</v>
      </c>
      <c r="AD32" s="135">
        <f t="shared" ca="1" si="18"/>
        <v>0</v>
      </c>
      <c r="AF32" s="46"/>
      <c r="AI32" s="90" t="str">
        <f ca="1">Calculations!I38</f>
        <v/>
      </c>
      <c r="AJ32" s="128" t="str">
        <f ca="1">Calculations!J38</f>
        <v/>
      </c>
      <c r="AK32" s="93"/>
      <c r="AM32" s="46"/>
      <c r="AP32" s="90" t="str">
        <f ca="1">Calculations!M38</f>
        <v/>
      </c>
      <c r="AQ32" s="128" t="str">
        <f ca="1">Calculations!N38</f>
        <v/>
      </c>
      <c r="AR32" s="93"/>
    </row>
    <row r="33" spans="3:44" x14ac:dyDescent="0.3">
      <c r="C33" s="46" t="str" cm="1">
        <f t="array" ref="C33">IF(C32=-1,-1,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/2</v>
      </c>
      <c r="D33" s="47">
        <f t="shared" si="0"/>
        <v>-1</v>
      </c>
      <c r="E33" s="46" cm="1">
        <f t="array" ref="E33">1*OR(row_id=income_header_row,row_id=expenses_header_row,row_id=savings_header_row)</f>
        <v>0</v>
      </c>
      <c r="F33" s="1">
        <f t="shared" si="1"/>
        <v>0</v>
      </c>
      <c r="G33" s="1" cm="1">
        <f t="array" ref="G33">1*OR(row_id=income_total_row,row_id=expenses_total_row,row_id=savings_total_row)</f>
        <v>0</v>
      </c>
      <c r="H33" s="47">
        <f t="shared" si="2"/>
        <v>1</v>
      </c>
      <c r="I33" s="46" t="str" cm="1">
        <f t="array" ref="I33">IFERROR(INDEX('Budget Planning'!C:C,header_row_id),"")</f>
        <v/>
      </c>
      <c r="J33" s="1" t="str" cm="1">
        <f t="array" ref="J33">IFERROR(INDEX('Budget Planning'!C:C,row_id),"")</f>
        <v/>
      </c>
      <c r="K33" s="64" t="str" cm="1">
        <f t="array" ref="K33">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3" s="68" t="str" cm="1">
        <f t="array" ref="L33">IF(OR(is_header,is_empty),"",
  INDEX('Budget Planning'!$E:$CI,row_id,
      MATCH(IF(selected_period="Total Year",selected_year,DATE(selected_year,selected_period,1)),'Budget Planning'!$E$9:$CI$9,0)))</f>
        <v/>
      </c>
      <c r="M33" s="46" t="str" cm="1">
        <f t="array" ref="M33">IF(is_category,
  IF(header_row_id=income_header_row,MATCH(income_min_row, $C:$C,0),
  IF(header_row_id=expenses_header_row,MATCH(expenses_min_row, $C:$C,0),
  IF(header_row_id=savings_header_row,MATCH(savings_min_row, $C:$C,0),""))),
 "")</f>
        <v/>
      </c>
      <c r="N33" s="47" t="str" cm="1">
        <f t="array" ref="N33">IF(is_category,
  IF(header_row_id=income_header_row,MATCH(income_max_row, $C:$C,0),
  IF(header_row_id=expenses_header_row,MATCH(expenses_max_row, $C:$C,0),
  IF(header_row_id=savings_header_row,MATCH(savings_max_row, $C:$C,0),""))),
 "")</f>
        <v/>
      </c>
      <c r="O33" s="46" t="str">
        <f t="shared" si="3"/>
        <v/>
      </c>
      <c r="P33" s="1" t="str">
        <f t="shared" ca="1" si="4"/>
        <v/>
      </c>
      <c r="Q33" s="1" t="str">
        <f t="shared" si="5"/>
        <v/>
      </c>
      <c r="R33" s="47" t="str">
        <f t="shared" ca="1" si="6"/>
        <v/>
      </c>
      <c r="S33" s="46" t="str">
        <f t="shared" si="7"/>
        <v/>
      </c>
      <c r="T33" s="1" t="str">
        <f t="shared" si="8"/>
        <v/>
      </c>
      <c r="U33" s="1" t="str">
        <f t="shared" ca="1" si="9"/>
        <v/>
      </c>
      <c r="V33" s="1" t="str">
        <f t="shared" si="10"/>
        <v/>
      </c>
      <c r="W33" s="47" t="str">
        <f t="shared" ca="1" si="11"/>
        <v/>
      </c>
      <c r="X33" s="70" t="str">
        <f t="shared" si="12"/>
        <v>/2</v>
      </c>
      <c r="Y33" s="74" t="str">
        <f t="shared" si="13"/>
        <v/>
      </c>
      <c r="Z33" s="135" t="str">
        <f t="shared" si="14"/>
        <v/>
      </c>
      <c r="AA33" s="135" t="str">
        <f t="shared" si="15"/>
        <v/>
      </c>
      <c r="AB33" s="76" t="str">
        <f t="shared" si="16"/>
        <v/>
      </c>
      <c r="AC33" s="135" t="str">
        <f t="shared" si="17"/>
        <v/>
      </c>
      <c r="AD33" s="135" t="str">
        <f t="shared" si="18"/>
        <v/>
      </c>
      <c r="AF33" s="46"/>
      <c r="AG33" s="80"/>
      <c r="AI33" s="90" t="str">
        <f ca="1">Calculations!I39</f>
        <v/>
      </c>
      <c r="AJ33" s="128" t="str">
        <f ca="1">Calculations!J39</f>
        <v/>
      </c>
      <c r="AK33" s="93"/>
      <c r="AM33" s="46"/>
      <c r="AN33" s="80"/>
      <c r="AP33" s="90" t="str">
        <f>Calculations!M39</f>
        <v/>
      </c>
      <c r="AQ33" s="128" t="str">
        <f>Calculations!N39</f>
        <v/>
      </c>
      <c r="AR33" s="93"/>
    </row>
    <row r="34" spans="3:44" x14ac:dyDescent="0.3">
      <c r="C34" s="46" cm="1">
        <f t="array" ref="C34">IF(C33=-1,-1,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35</v>
      </c>
      <c r="D34" s="47">
        <f t="shared" si="0"/>
        <v>35</v>
      </c>
      <c r="E34" s="46" cm="1">
        <f t="array" ref="E34">1*OR(row_id=income_header_row,row_id=expenses_header_row,row_id=savings_header_row)</f>
        <v>1</v>
      </c>
      <c r="F34" s="1">
        <f t="shared" si="1"/>
        <v>0</v>
      </c>
      <c r="G34" s="1" cm="1">
        <f t="array" ref="G34">1*OR(row_id=income_total_row,row_id=expenses_total_row,row_id=savings_total_row)</f>
        <v>0</v>
      </c>
      <c r="H34" s="47">
        <f t="shared" si="2"/>
        <v>0</v>
      </c>
      <c r="I34" s="46" t="str" cm="1">
        <f t="array" ref="I34">IFERROR(INDEX('Budget Planning'!C:C,header_row_id),"")</f>
        <v>Savings</v>
      </c>
      <c r="J34" s="1" t="str" cm="1">
        <f t="array" ref="J34">IFERROR(INDEX('Budget Planning'!C:C,row_id),"")</f>
        <v>Savings</v>
      </c>
      <c r="K34" s="64" t="str" cm="1">
        <f t="array" ref="K34">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4" s="68" t="str" cm="1">
        <f t="array" ref="L34">IF(OR(is_header,is_empty),"",
  INDEX('Budget Planning'!$E:$CI,row_id,
      MATCH(IF(selected_period="Total Year",selected_year,DATE(selected_year,selected_period,1)),'Budget Planning'!$E$9:$CI$9,0)))</f>
        <v/>
      </c>
      <c r="M34" s="46" t="str" cm="1">
        <f t="array" ref="M34">IF(is_category,
  IF(header_row_id=income_header_row,MATCH(income_min_row, $C:$C,0),
  IF(header_row_id=expenses_header_row,MATCH(expenses_min_row, $C:$C,0),
  IF(header_row_id=savings_header_row,MATCH(savings_min_row, $C:$C,0),""))),
 "")</f>
        <v/>
      </c>
      <c r="N34" s="47" t="str" cm="1">
        <f t="array" ref="N34">IF(is_category,
  IF(header_row_id=income_header_row,MATCH(income_max_row, $C:$C,0),
  IF(header_row_id=expenses_header_row,MATCH(expenses_max_row, $C:$C,0),
  IF(header_row_id=savings_header_row,MATCH(savings_max_row, $C:$C,0),""))),
 "")</f>
        <v/>
      </c>
      <c r="O34" s="46" t="str">
        <f t="shared" si="3"/>
        <v/>
      </c>
      <c r="P34" s="1" t="str">
        <f t="shared" ca="1" si="4"/>
        <v/>
      </c>
      <c r="Q34" s="1" t="str">
        <f t="shared" si="5"/>
        <v/>
      </c>
      <c r="R34" s="47" t="str">
        <f t="shared" ca="1" si="6"/>
        <v/>
      </c>
      <c r="S34" s="46" t="str">
        <f t="shared" si="7"/>
        <v/>
      </c>
      <c r="T34" s="1" t="str">
        <f t="shared" si="8"/>
        <v/>
      </c>
      <c r="U34" s="1" t="str">
        <f t="shared" ca="1" si="9"/>
        <v/>
      </c>
      <c r="V34" s="1" t="str">
        <f t="shared" si="10"/>
        <v/>
      </c>
      <c r="W34" s="47" t="str">
        <f t="shared" ca="1" si="11"/>
        <v/>
      </c>
      <c r="X34" s="70">
        <f t="shared" si="12"/>
        <v>35</v>
      </c>
      <c r="Y34" s="74" t="str">
        <f t="shared" ca="1" si="13"/>
        <v>Savings</v>
      </c>
      <c r="Z34" s="135" t="str">
        <f t="shared" si="14"/>
        <v>Tracked</v>
      </c>
      <c r="AA34" s="135" t="str">
        <f t="shared" si="15"/>
        <v>Budget</v>
      </c>
      <c r="AB34" s="76" t="str">
        <f>IF(is_empty,"",IF(is_header,"% Compl.",IFERROR(out_tracked/out_budget,"-")))</f>
        <v>% Compl.</v>
      </c>
      <c r="AC34" s="137" t="str">
        <f t="shared" si="17"/>
        <v>Remaining</v>
      </c>
      <c r="AD34" s="135" t="str">
        <f t="shared" si="18"/>
        <v>Excess</v>
      </c>
      <c r="AF34" s="46"/>
      <c r="AI34" s="90" t="str">
        <f ca="1">Calculations!I40</f>
        <v>Other</v>
      </c>
      <c r="AJ34" s="128">
        <f ca="1">Calculations!J40</f>
        <v>98.78</v>
      </c>
      <c r="AK34" s="93"/>
      <c r="AM34" s="46"/>
      <c r="AP34" s="90" t="str">
        <f ca="1">Calculations!M40</f>
        <v/>
      </c>
      <c r="AQ34" s="128" t="str">
        <f ca="1">Calculations!N40</f>
        <v/>
      </c>
      <c r="AR34" s="93"/>
    </row>
    <row r="35" spans="3:44" x14ac:dyDescent="0.3">
      <c r="C35" s="46" cm="1">
        <f t="array" ref="C35">IF(C34=-1,-1,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36</v>
      </c>
      <c r="D35" s="47">
        <f t="shared" si="0"/>
        <v>35</v>
      </c>
      <c r="E35" s="46" cm="1">
        <f t="array" ref="E35">1*OR(row_id=income_header_row,row_id=expenses_header_row,row_id=savings_header_row)</f>
        <v>0</v>
      </c>
      <c r="F35" s="1">
        <f t="shared" si="1"/>
        <v>1</v>
      </c>
      <c r="G35" s="1" cm="1">
        <f t="array" ref="G35">1*OR(row_id=income_total_row,row_id=expenses_total_row,row_id=savings_total_row)</f>
        <v>0</v>
      </c>
      <c r="H35" s="47">
        <f t="shared" si="2"/>
        <v>0</v>
      </c>
      <c r="I35" s="46" t="str" cm="1">
        <f t="array" ref="I35">IFERROR(INDEX('Budget Planning'!C:C,header_row_id),"")</f>
        <v>Savings</v>
      </c>
      <c r="J35" s="1" t="str" cm="1">
        <f t="array" ref="J35">IFERROR(INDEX('Budget Planning'!C:C,row_id),"")</f>
        <v>Bond Account</v>
      </c>
      <c r="K35" s="64" cm="1">
        <f t="array" aca="1" ref="K35"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5" s="68" cm="1">
        <f t="array" aca="1" ref="L35" ca="1">IF(OR(is_header,is_empty),"",
  INDEX('Budget Planning'!$E:$CI,row_id,
      MATCH(IF(selected_period="Total Year",selected_year,DATE(selected_year,selected_period,1)),'Budget Planning'!$E$9:$CI$9,0)))</f>
        <v>0</v>
      </c>
      <c r="M35" s="46" cm="1">
        <f t="array" ref="M35">IF(is_category,
  IF(header_row_id=income_header_row,MATCH(income_min_row, $C:$C,0),
  IF(header_row_id=expenses_header_row,MATCH(expenses_min_row, $C:$C,0),
  IF(header_row_id=savings_header_row,MATCH(savings_min_row, $C:$C,0),""))),
 "")</f>
        <v>35</v>
      </c>
      <c r="N35" s="47" cm="1">
        <f t="array" ref="N35">IF(is_category,
  IF(header_row_id=income_header_row,MATCH(income_max_row, $C:$C,0),
  IF(header_row_id=expenses_header_row,MATCH(expenses_max_row, $C:$C,0),
  IF(header_row_id=savings_header_row,MATCH(savings_max_row, $C:$C,0),""))),
 "")</f>
        <v>38</v>
      </c>
      <c r="O35" s="46" t="str">
        <f t="shared" si="3"/>
        <v>$K$35:$K$38</v>
      </c>
      <c r="P35" s="1">
        <f t="shared" ca="1" si="4"/>
        <v>1</v>
      </c>
      <c r="Q35" s="1" t="str">
        <f t="shared" si="5"/>
        <v>$L$35:$L$38</v>
      </c>
      <c r="R35" s="47">
        <f t="shared" ca="1" si="6"/>
        <v>3</v>
      </c>
      <c r="S35" s="46">
        <f t="shared" ca="1" si="7"/>
        <v>13</v>
      </c>
      <c r="T35" s="1" t="str">
        <f t="shared" si="8"/>
        <v>$S$35:$S$38</v>
      </c>
      <c r="U35" s="1">
        <f t="shared" ca="1" si="9"/>
        <v>3</v>
      </c>
      <c r="V35" s="1" t="str">
        <f t="shared" si="10"/>
        <v>$U$35:$U$35</v>
      </c>
      <c r="W35" s="47">
        <f t="shared" ca="1" si="11"/>
        <v>3</v>
      </c>
      <c r="X35" s="70">
        <f t="shared" ca="1" si="12"/>
        <v>38</v>
      </c>
      <c r="Y35" s="74" t="str">
        <f t="shared" ca="1" si="13"/>
        <v>High Yield Savings</v>
      </c>
      <c r="Z35" s="135">
        <f t="shared" ca="1" si="14"/>
        <v>0</v>
      </c>
      <c r="AA35" s="135">
        <f t="shared" ca="1" si="15"/>
        <v>437.5</v>
      </c>
      <c r="AB35" s="76">
        <f t="shared" ca="1" si="16"/>
        <v>0</v>
      </c>
      <c r="AC35" s="135">
        <f t="shared" ca="1" si="17"/>
        <v>437.5</v>
      </c>
      <c r="AD35" s="135">
        <f t="shared" ca="1" si="18"/>
        <v>0</v>
      </c>
      <c r="AF35" s="46"/>
      <c r="AI35" s="91" t="str">
        <f>Calculations!I41</f>
        <v>Total</v>
      </c>
      <c r="AJ35" s="129">
        <f ca="1">Calculations!J41</f>
        <v>198.93</v>
      </c>
      <c r="AK35" s="93"/>
      <c r="AM35" s="46"/>
      <c r="AP35" s="91" t="str">
        <f>Calculations!M41</f>
        <v>Total</v>
      </c>
      <c r="AQ35" s="129">
        <f ca="1">Calculations!N41</f>
        <v>0</v>
      </c>
      <c r="AR35" s="93"/>
    </row>
    <row r="36" spans="3:44" x14ac:dyDescent="0.3">
      <c r="C36" s="46" cm="1">
        <f t="array" ref="C36">IF(C35=-1,-1,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37</v>
      </c>
      <c r="D36" s="47">
        <f t="shared" si="0"/>
        <v>35</v>
      </c>
      <c r="E36" s="46" cm="1">
        <f t="array" ref="E36">1*OR(row_id=income_header_row,row_id=expenses_header_row,row_id=savings_header_row)</f>
        <v>0</v>
      </c>
      <c r="F36" s="1">
        <f t="shared" si="1"/>
        <v>1</v>
      </c>
      <c r="G36" s="1" cm="1">
        <f t="array" ref="G36">1*OR(row_id=income_total_row,row_id=expenses_total_row,row_id=savings_total_row)</f>
        <v>0</v>
      </c>
      <c r="H36" s="47">
        <f t="shared" si="2"/>
        <v>0</v>
      </c>
      <c r="I36" s="46" t="str" cm="1">
        <f t="array" ref="I36">IFERROR(INDEX('Budget Planning'!C:C,header_row_id),"")</f>
        <v>Savings</v>
      </c>
      <c r="J36" s="1" t="str" cm="1">
        <f t="array" ref="J36">IFERROR(INDEX('Budget Planning'!C:C,row_id),"")</f>
        <v>High Yield Savings</v>
      </c>
      <c r="K36" s="64" cm="1">
        <f t="array" aca="1" ref="K36"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6" s="68" cm="1">
        <f t="array" aca="1" ref="L36" ca="1">IF(OR(is_header,is_empty),"",
  INDEX('Budget Planning'!$E:$CI,row_id,
      MATCH(IF(selected_period="Total Year",selected_year,DATE(selected_year,selected_period,1)),'Budget Planning'!$E$9:$CI$9,0)))</f>
        <v>437.5</v>
      </c>
      <c r="M36" s="46" cm="1">
        <f t="array" ref="M36">IF(is_category,
  IF(header_row_id=income_header_row,MATCH(income_min_row, $C:$C,0),
  IF(header_row_id=expenses_header_row,MATCH(expenses_min_row, $C:$C,0),
  IF(header_row_id=savings_header_row,MATCH(savings_min_row, $C:$C,0),""))),
 "")</f>
        <v>35</v>
      </c>
      <c r="N36" s="47" cm="1">
        <f t="array" ref="N36">IF(is_category,
  IF(header_row_id=income_header_row,MATCH(income_max_row, $C:$C,0),
  IF(header_row_id=expenses_header_row,MATCH(expenses_max_row, $C:$C,0),
  IF(header_row_id=savings_header_row,MATCH(savings_max_row, $C:$C,0),""))),
 "")</f>
        <v>38</v>
      </c>
      <c r="O36" s="46" t="str">
        <f t="shared" si="3"/>
        <v>$K$35:$K$38</v>
      </c>
      <c r="P36" s="1">
        <f t="shared" ca="1" si="4"/>
        <v>1</v>
      </c>
      <c r="Q36" s="1" t="str">
        <f t="shared" si="5"/>
        <v>$L$35:$L$38</v>
      </c>
      <c r="R36" s="47">
        <f t="shared" ca="1" si="6"/>
        <v>1</v>
      </c>
      <c r="S36" s="46">
        <f t="shared" ca="1" si="7"/>
        <v>11</v>
      </c>
      <c r="T36" s="1" t="str">
        <f t="shared" si="8"/>
        <v>$S$35:$S$38</v>
      </c>
      <c r="U36" s="1">
        <f t="shared" ca="1" si="9"/>
        <v>1</v>
      </c>
      <c r="V36" s="1" t="str">
        <f t="shared" si="10"/>
        <v>$U$35:$U$36</v>
      </c>
      <c r="W36" s="47">
        <f t="shared" ca="1" si="11"/>
        <v>1</v>
      </c>
      <c r="X36" s="70">
        <f t="shared" ca="1" si="12"/>
        <v>36</v>
      </c>
      <c r="Y36" s="74" t="str">
        <f t="shared" ca="1" si="13"/>
        <v>Roth IRA</v>
      </c>
      <c r="Z36" s="135">
        <f t="shared" ca="1" si="14"/>
        <v>0</v>
      </c>
      <c r="AA36" s="135">
        <f t="shared" ca="1" si="15"/>
        <v>259</v>
      </c>
      <c r="AB36" s="76">
        <f t="shared" ca="1" si="16"/>
        <v>0</v>
      </c>
      <c r="AC36" s="135">
        <f t="shared" ca="1" si="17"/>
        <v>259</v>
      </c>
      <c r="AD36" s="135">
        <f t="shared" ca="1" si="18"/>
        <v>0</v>
      </c>
      <c r="AF36" s="46"/>
      <c r="AK36" s="93"/>
      <c r="AM36" s="46"/>
      <c r="AR36" s="93"/>
    </row>
    <row r="37" spans="3:44" x14ac:dyDescent="0.3">
      <c r="C37" s="46" cm="1">
        <f t="array" ref="C37">IF(C36=-1,-1,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38</v>
      </c>
      <c r="D37" s="47">
        <f t="shared" si="0"/>
        <v>35</v>
      </c>
      <c r="E37" s="46" cm="1">
        <f t="array" ref="E37">1*OR(row_id=income_header_row,row_id=expenses_header_row,row_id=savings_header_row)</f>
        <v>0</v>
      </c>
      <c r="F37" s="1">
        <f t="shared" si="1"/>
        <v>1</v>
      </c>
      <c r="G37" s="1" cm="1">
        <f t="array" ref="G37">1*OR(row_id=income_total_row,row_id=expenses_total_row,row_id=savings_total_row)</f>
        <v>0</v>
      </c>
      <c r="H37" s="47">
        <f t="shared" si="2"/>
        <v>0</v>
      </c>
      <c r="I37" s="46" t="str" cm="1">
        <f t="array" ref="I37">IFERROR(INDEX('Budget Planning'!C:C,header_row_id),"")</f>
        <v>Savings</v>
      </c>
      <c r="J37" s="1" t="str" cm="1">
        <f t="array" ref="J37">IFERROR(INDEX('Budget Planning'!C:C,row_id),"")</f>
        <v>Schwab</v>
      </c>
      <c r="K37" s="64" cm="1">
        <f t="array" aca="1" ref="K37"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7" s="68" cm="1">
        <f t="array" aca="1" ref="L37" ca="1">IF(OR(is_header,is_empty),"",
  INDEX('Budget Planning'!$E:$CI,row_id,
      MATCH(IF(selected_period="Total Year",selected_year,DATE(selected_year,selected_period,1)),'Budget Planning'!$E$9:$CI$9,0)))</f>
        <v>0</v>
      </c>
      <c r="M37" s="46" cm="1">
        <f t="array" ref="M37">IF(is_category,
  IF(header_row_id=income_header_row,MATCH(income_min_row, $C:$C,0),
  IF(header_row_id=expenses_header_row,MATCH(expenses_min_row, $C:$C,0),
  IF(header_row_id=savings_header_row,MATCH(savings_min_row, $C:$C,0),""))),
 "")</f>
        <v>35</v>
      </c>
      <c r="N37" s="47" cm="1">
        <f t="array" ref="N37">IF(is_category,
  IF(header_row_id=income_header_row,MATCH(income_max_row, $C:$C,0),
  IF(header_row_id=expenses_header_row,MATCH(expenses_max_row, $C:$C,0),
  IF(header_row_id=savings_header_row,MATCH(savings_max_row, $C:$C,0),""))),
 "")</f>
        <v>38</v>
      </c>
      <c r="O37" s="46" t="str">
        <f t="shared" si="3"/>
        <v>$K$35:$K$38</v>
      </c>
      <c r="P37" s="1">
        <f t="shared" ca="1" si="4"/>
        <v>1</v>
      </c>
      <c r="Q37" s="1" t="str">
        <f t="shared" si="5"/>
        <v>$L$35:$L$38</v>
      </c>
      <c r="R37" s="47">
        <f t="shared" ca="1" si="6"/>
        <v>3</v>
      </c>
      <c r="S37" s="46">
        <f t="shared" ca="1" si="7"/>
        <v>13</v>
      </c>
      <c r="T37" s="1" t="str">
        <f t="shared" si="8"/>
        <v>$S$35:$S$38</v>
      </c>
      <c r="U37" s="1">
        <f t="shared" ca="1" si="9"/>
        <v>3</v>
      </c>
      <c r="V37" s="1" t="str">
        <f t="shared" si="10"/>
        <v>$U$35:$U$37</v>
      </c>
      <c r="W37" s="47">
        <f t="shared" ca="1" si="11"/>
        <v>4</v>
      </c>
      <c r="X37" s="70">
        <f t="shared" ca="1" si="12"/>
        <v>39</v>
      </c>
      <c r="Y37" s="74" t="str">
        <f t="shared" ca="1" si="13"/>
        <v>Bond Account</v>
      </c>
      <c r="Z37" s="135">
        <f t="shared" ca="1" si="14"/>
        <v>0</v>
      </c>
      <c r="AA37" s="135"/>
      <c r="AB37" s="76" t="str">
        <f t="shared" ca="1" si="16"/>
        <v>-</v>
      </c>
      <c r="AC37" s="135">
        <f t="shared" ca="1" si="17"/>
        <v>0</v>
      </c>
      <c r="AD37" s="135">
        <f t="shared" ca="1" si="18"/>
        <v>0</v>
      </c>
      <c r="AF37" s="48"/>
      <c r="AG37" s="49"/>
      <c r="AH37" s="49"/>
      <c r="AI37" s="49"/>
      <c r="AJ37" s="130"/>
      <c r="AK37" s="94"/>
      <c r="AM37" s="48"/>
      <c r="AN37" s="49"/>
      <c r="AO37" s="49"/>
      <c r="AP37" s="49"/>
      <c r="AQ37" s="130"/>
      <c r="AR37" s="94"/>
    </row>
    <row r="38" spans="3:44" x14ac:dyDescent="0.3">
      <c r="C38" s="46" cm="1">
        <f t="array" ref="C38">IF(C37=-1,-1,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39</v>
      </c>
      <c r="D38" s="47">
        <f t="shared" si="0"/>
        <v>35</v>
      </c>
      <c r="E38" s="46" cm="1">
        <f t="array" ref="E38">1*OR(row_id=income_header_row,row_id=expenses_header_row,row_id=savings_header_row)</f>
        <v>0</v>
      </c>
      <c r="F38" s="1">
        <f t="shared" si="1"/>
        <v>1</v>
      </c>
      <c r="G38" s="1" cm="1">
        <f t="array" ref="G38">1*OR(row_id=income_total_row,row_id=expenses_total_row,row_id=savings_total_row)</f>
        <v>0</v>
      </c>
      <c r="H38" s="47">
        <f t="shared" si="2"/>
        <v>0</v>
      </c>
      <c r="I38" s="46" t="str" cm="1">
        <f t="array" ref="I38">IFERROR(INDEX('Budget Planning'!C:C,header_row_id),"")</f>
        <v>Savings</v>
      </c>
      <c r="J38" s="1" t="str" cm="1">
        <f t="array" ref="J38">IFERROR(INDEX('Budget Planning'!C:C,row_id),"")</f>
        <v>Roth IRA</v>
      </c>
      <c r="K38" s="64" cm="1">
        <f t="array" aca="1" ref="K38"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8" s="68" cm="1">
        <f t="array" aca="1" ref="L38" ca="1">IF(OR(is_header,is_empty),"",
  INDEX('Budget Planning'!$E:$CI,row_id,
      MATCH(IF(selected_period="Total Year",selected_year,DATE(selected_year,selected_period,1)),'Budget Planning'!$E$9:$CI$9,0)))</f>
        <v>259</v>
      </c>
      <c r="M38" s="46" cm="1">
        <f t="array" ref="M38">IF(is_category,
  IF(header_row_id=income_header_row,MATCH(income_min_row, $C:$C,0),
  IF(header_row_id=expenses_header_row,MATCH(expenses_min_row, $C:$C,0),
  IF(header_row_id=savings_header_row,MATCH(savings_min_row, $C:$C,0),""))),
 "")</f>
        <v>35</v>
      </c>
      <c r="N38" s="47" cm="1">
        <f t="array" ref="N38">IF(is_category,
  IF(header_row_id=income_header_row,MATCH(income_max_row, $C:$C,0),
  IF(header_row_id=expenses_header_row,MATCH(expenses_max_row, $C:$C,0),
  IF(header_row_id=savings_header_row,MATCH(savings_max_row, $C:$C,0),""))),
 "")</f>
        <v>38</v>
      </c>
      <c r="O38" s="46" t="str">
        <f t="shared" si="3"/>
        <v>$K$35:$K$38</v>
      </c>
      <c r="P38" s="1">
        <f t="shared" ca="1" si="4"/>
        <v>1</v>
      </c>
      <c r="Q38" s="1" t="str">
        <f t="shared" si="5"/>
        <v>$L$35:$L$38</v>
      </c>
      <c r="R38" s="47">
        <f t="shared" ca="1" si="6"/>
        <v>2</v>
      </c>
      <c r="S38" s="46">
        <f t="shared" ca="1" si="7"/>
        <v>12</v>
      </c>
      <c r="T38" s="1" t="str">
        <f t="shared" si="8"/>
        <v>$S$35:$S$38</v>
      </c>
      <c r="U38" s="1">
        <f t="shared" ca="1" si="9"/>
        <v>2</v>
      </c>
      <c r="V38" s="1" t="str">
        <f t="shared" si="10"/>
        <v>$U$35:$U$38</v>
      </c>
      <c r="W38" s="47">
        <f t="shared" ca="1" si="11"/>
        <v>2</v>
      </c>
      <c r="X38" s="70">
        <f t="shared" ca="1" si="12"/>
        <v>37</v>
      </c>
      <c r="Y38" s="74" t="str">
        <f t="shared" ca="1" si="13"/>
        <v>Schwab</v>
      </c>
      <c r="Z38" s="135">
        <f t="shared" ca="1" si="14"/>
        <v>0</v>
      </c>
      <c r="AA38" s="135">
        <f t="shared" ca="1" si="15"/>
        <v>0</v>
      </c>
      <c r="AB38" s="76" t="str">
        <f t="shared" ca="1" si="16"/>
        <v>-</v>
      </c>
      <c r="AC38" s="135">
        <f t="shared" ca="1" si="17"/>
        <v>0</v>
      </c>
      <c r="AD38" s="135">
        <f t="shared" ca="1" si="18"/>
        <v>0</v>
      </c>
    </row>
    <row r="39" spans="3:44" x14ac:dyDescent="0.3">
      <c r="C39" s="46" cm="1">
        <f t="array" ref="C39">IF(C38=-1,-1,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46</v>
      </c>
      <c r="D39" s="47">
        <f t="shared" si="0"/>
        <v>35</v>
      </c>
      <c r="E39" s="46" cm="1">
        <f t="array" ref="E39">1*OR(row_id=income_header_row,row_id=expenses_header_row,row_id=savings_header_row)</f>
        <v>0</v>
      </c>
      <c r="F39" s="1">
        <f t="shared" si="1"/>
        <v>0</v>
      </c>
      <c r="G39" s="1" cm="1">
        <f t="array" ref="G39">1*OR(row_id=income_total_row,row_id=expenses_total_row,row_id=savings_total_row)</f>
        <v>1</v>
      </c>
      <c r="H39" s="47">
        <f t="shared" si="2"/>
        <v>0</v>
      </c>
      <c r="I39" s="46" t="str" cm="1">
        <f t="array" ref="I39">IFERROR(INDEX('Budget Planning'!C:C,header_row_id),"")</f>
        <v>Savings</v>
      </c>
      <c r="J39" s="1" t="str" cm="1">
        <f t="array" ref="J39">IFERROR(INDEX('Budget Planning'!C:C,row_id),"")</f>
        <v>Total</v>
      </c>
      <c r="K39" s="64" cm="1">
        <f t="array" aca="1" ref="K39" ca="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9" s="68" cm="1">
        <f t="array" aca="1" ref="L39" ca="1">IF(OR(is_header,is_empty),"",
  INDEX('Budget Planning'!$E:$CI,row_id,
      MATCH(IF(selected_period="Total Year",selected_year,DATE(selected_year,selected_period,1)),'Budget Planning'!$E$9:$CI$9,0)))</f>
        <v>696.5</v>
      </c>
      <c r="M39" s="46" t="str" cm="1">
        <f t="array" ref="M39">IF(is_category,
  IF(header_row_id=income_header_row,MATCH(income_min_row, $C:$C,0),
  IF(header_row_id=expenses_header_row,MATCH(expenses_min_row, $C:$C,0),
  IF(header_row_id=savings_header_row,MATCH(savings_min_row, $C:$C,0),""))),
 "")</f>
        <v/>
      </c>
      <c r="N39" s="47" t="str" cm="1">
        <f t="array" ref="N39">IF(is_category,
  IF(header_row_id=income_header_row,MATCH(income_max_row, $C:$C,0),
  IF(header_row_id=expenses_header_row,MATCH(expenses_max_row, $C:$C,0),
  IF(header_row_id=savings_header_row,MATCH(savings_max_row, $C:$C,0),""))),
 "")</f>
        <v/>
      </c>
      <c r="O39" s="46" t="str">
        <f t="shared" si="3"/>
        <v/>
      </c>
      <c r="P39" s="1" t="str">
        <f t="shared" ca="1" si="4"/>
        <v/>
      </c>
      <c r="Q39" s="1" t="str">
        <f t="shared" si="5"/>
        <v/>
      </c>
      <c r="R39" s="47" t="str">
        <f t="shared" ca="1" si="6"/>
        <v/>
      </c>
      <c r="S39" s="46" t="str">
        <f t="shared" si="7"/>
        <v/>
      </c>
      <c r="T39" s="1" t="str">
        <f t="shared" si="8"/>
        <v/>
      </c>
      <c r="U39" s="1" t="str">
        <f t="shared" ca="1" si="9"/>
        <v/>
      </c>
      <c r="V39" s="1" t="str">
        <f t="shared" si="10"/>
        <v/>
      </c>
      <c r="W39" s="47" t="str">
        <f t="shared" ca="1" si="11"/>
        <v/>
      </c>
      <c r="X39" s="70">
        <f t="shared" si="12"/>
        <v>46</v>
      </c>
      <c r="Y39" s="74" t="str">
        <f t="shared" ca="1" si="13"/>
        <v>Total</v>
      </c>
      <c r="Z39" s="135">
        <f t="shared" ca="1" si="14"/>
        <v>0</v>
      </c>
      <c r="AA39" s="135">
        <f t="shared" ca="1" si="15"/>
        <v>696.5</v>
      </c>
      <c r="AB39" s="76">
        <f t="shared" ca="1" si="16"/>
        <v>0</v>
      </c>
      <c r="AC39" s="135">
        <f t="shared" ca="1" si="17"/>
        <v>696.5</v>
      </c>
      <c r="AD39" s="135">
        <f t="shared" ca="1" si="18"/>
        <v>0</v>
      </c>
    </row>
    <row r="40" spans="3:44" x14ac:dyDescent="0.3">
      <c r="C40" s="46" cm="1">
        <f t="array" ref="C40">IF(C39=-1,-1,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-1</v>
      </c>
      <c r="D40" s="47">
        <f t="shared" si="0"/>
        <v>-1</v>
      </c>
      <c r="E40" s="46" cm="1">
        <f t="array" ref="E40">1*OR(row_id=income_header_row,row_id=expenses_header_row,row_id=savings_header_row)</f>
        <v>0</v>
      </c>
      <c r="F40" s="1">
        <f t="shared" si="1"/>
        <v>0</v>
      </c>
      <c r="G40" s="1" cm="1">
        <f t="array" ref="G40">1*OR(row_id=income_total_row,row_id=expenses_total_row,row_id=savings_total_row)</f>
        <v>0</v>
      </c>
      <c r="H40" s="47">
        <f t="shared" si="2"/>
        <v>1</v>
      </c>
      <c r="I40" s="46" t="str" cm="1">
        <f t="array" ref="I40">IFERROR(INDEX('Budget Planning'!C:C,header_row_id),"")</f>
        <v/>
      </c>
      <c r="J40" s="1" t="str" cm="1">
        <f t="array" ref="J40">IFERROR(INDEX('Budget Planning'!C:C,row_id),"")</f>
        <v/>
      </c>
      <c r="K40" s="64" t="str" cm="1">
        <f t="array" ref="K40">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0" s="68" t="str" cm="1">
        <f t="array" ref="L40">IF(OR(is_header,is_empty),"",
  INDEX('Budget Planning'!$E:$CI,row_id,
      MATCH(IF(selected_period="Total Year",selected_year,DATE(selected_year,selected_period,1)),'Budget Planning'!$E$9:$CI$9,0)))</f>
        <v/>
      </c>
      <c r="M40" s="46" t="str" cm="1">
        <f t="array" ref="M40">IF(is_category,
  IF(header_row_id=income_header_row,MATCH(income_min_row, $C:$C,0),
  IF(header_row_id=expenses_header_row,MATCH(expenses_min_row, $C:$C,0),
  IF(header_row_id=savings_header_row,MATCH(savings_min_row, $C:$C,0),""))),
 "")</f>
        <v/>
      </c>
      <c r="N40" s="47" t="str" cm="1">
        <f t="array" ref="N40">IF(is_category,
  IF(header_row_id=income_header_row,MATCH(income_max_row, $C:$C,0),
  IF(header_row_id=expenses_header_row,MATCH(expenses_max_row, $C:$C,0),
  IF(header_row_id=savings_header_row,MATCH(savings_max_row, $C:$C,0),""))),
 "")</f>
        <v/>
      </c>
      <c r="O40" s="46" t="str">
        <f t="shared" si="3"/>
        <v/>
      </c>
      <c r="P40" s="1" t="str">
        <f t="shared" ca="1" si="4"/>
        <v/>
      </c>
      <c r="Q40" s="1" t="str">
        <f t="shared" si="5"/>
        <v/>
      </c>
      <c r="R40" s="47" t="str">
        <f t="shared" ca="1" si="6"/>
        <v/>
      </c>
      <c r="S40" s="46" t="str">
        <f t="shared" si="7"/>
        <v/>
      </c>
      <c r="T40" s="1" t="str">
        <f t="shared" si="8"/>
        <v/>
      </c>
      <c r="U40" s="1" t="str">
        <f t="shared" ca="1" si="9"/>
        <v/>
      </c>
      <c r="V40" s="1" t="str">
        <f t="shared" si="10"/>
        <v/>
      </c>
      <c r="W40" s="47" t="str">
        <f t="shared" ca="1" si="11"/>
        <v/>
      </c>
      <c r="X40" s="70">
        <f t="shared" si="12"/>
        <v>-1</v>
      </c>
      <c r="Y40" s="74" t="str">
        <f t="shared" si="13"/>
        <v/>
      </c>
      <c r="Z40" s="135" t="str">
        <f t="shared" si="14"/>
        <v/>
      </c>
      <c r="AA40" s="135" t="str">
        <f t="shared" si="15"/>
        <v/>
      </c>
      <c r="AB40" s="76" t="str">
        <f t="shared" si="16"/>
        <v/>
      </c>
      <c r="AC40" s="135" t="str">
        <f t="shared" si="17"/>
        <v/>
      </c>
      <c r="AD40" s="135" t="str">
        <f t="shared" si="18"/>
        <v/>
      </c>
    </row>
    <row r="41" spans="3:44" x14ac:dyDescent="0.3">
      <c r="C41" s="46" cm="1">
        <f t="array" ref="C41">IF(C40=-1,-1,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v>
      </c>
      <c r="D41" s="47">
        <f t="shared" si="0"/>
        <v>-1</v>
      </c>
      <c r="E41" s="46" cm="1">
        <f t="array" ref="E41">1*OR(row_id=income_header_row,row_id=expenses_header_row,row_id=savings_header_row)</f>
        <v>0</v>
      </c>
      <c r="F41" s="1">
        <f t="shared" si="1"/>
        <v>0</v>
      </c>
      <c r="G41" s="1" cm="1">
        <f t="array" ref="G41">1*OR(row_id=income_total_row,row_id=expenses_total_row,row_id=savings_total_row)</f>
        <v>0</v>
      </c>
      <c r="H41" s="47">
        <f t="shared" si="2"/>
        <v>1</v>
      </c>
      <c r="I41" s="46" t="str" cm="1">
        <f t="array" ref="I41">IFERROR(INDEX('Budget Planning'!C:C,header_row_id),"")</f>
        <v/>
      </c>
      <c r="J41" s="1" t="str" cm="1">
        <f t="array" ref="J41">IFERROR(INDEX('Budget Planning'!C:C,row_id),"")</f>
        <v/>
      </c>
      <c r="K41" s="64" t="str" cm="1">
        <f t="array" ref="K41">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1" s="68" t="str" cm="1">
        <f t="array" ref="L41">IF(OR(is_header,is_empty),"",
  INDEX('Budget Planning'!$E:$CI,row_id,
      MATCH(IF(selected_period="Total Year",selected_year,DATE(selected_year,selected_period,1)),'Budget Planning'!$E$9:$CI$9,0)))</f>
        <v/>
      </c>
      <c r="M41" s="46" t="str" cm="1">
        <f t="array" ref="M41">IF(is_category,
  IF(header_row_id=income_header_row,MATCH(income_min_row, $C:$C,0),
  IF(header_row_id=expenses_header_row,MATCH(expenses_min_row, $C:$C,0),
  IF(header_row_id=savings_header_row,MATCH(savings_min_row, $C:$C,0),""))),
 "")</f>
        <v/>
      </c>
      <c r="N41" s="47" t="str" cm="1">
        <f t="array" ref="N41">IF(is_category,
  IF(header_row_id=income_header_row,MATCH(income_max_row, $C:$C,0),
  IF(header_row_id=expenses_header_row,MATCH(expenses_max_row, $C:$C,0),
  IF(header_row_id=savings_header_row,MATCH(savings_max_row, $C:$C,0),""))),
 "")</f>
        <v/>
      </c>
      <c r="O41" s="46" t="str">
        <f t="shared" si="3"/>
        <v/>
      </c>
      <c r="P41" s="1" t="str">
        <f t="shared" ca="1" si="4"/>
        <v/>
      </c>
      <c r="Q41" s="1" t="str">
        <f t="shared" si="5"/>
        <v/>
      </c>
      <c r="R41" s="47" t="str">
        <f t="shared" ca="1" si="6"/>
        <v/>
      </c>
      <c r="S41" s="46" t="str">
        <f t="shared" si="7"/>
        <v/>
      </c>
      <c r="T41" s="1" t="str">
        <f t="shared" si="8"/>
        <v/>
      </c>
      <c r="U41" s="1" t="str">
        <f t="shared" ca="1" si="9"/>
        <v/>
      </c>
      <c r="V41" s="1" t="str">
        <f t="shared" si="10"/>
        <v/>
      </c>
      <c r="W41" s="47" t="str">
        <f t="shared" ca="1" si="11"/>
        <v/>
      </c>
      <c r="X41" s="70">
        <f t="shared" si="12"/>
        <v>-1</v>
      </c>
      <c r="Y41" s="74" t="str">
        <f t="shared" si="13"/>
        <v/>
      </c>
      <c r="Z41" s="135" t="str">
        <f t="shared" si="14"/>
        <v/>
      </c>
      <c r="AA41" s="135" t="str">
        <f t="shared" si="15"/>
        <v/>
      </c>
      <c r="AB41" s="76" t="str">
        <f t="shared" si="16"/>
        <v/>
      </c>
      <c r="AC41" s="135" t="str">
        <f t="shared" si="17"/>
        <v/>
      </c>
      <c r="AD41" s="135" t="str">
        <f t="shared" si="18"/>
        <v/>
      </c>
    </row>
    <row r="42" spans="3:44" x14ac:dyDescent="0.3">
      <c r="C42" s="46" cm="1">
        <f t="array" ref="C42">IF(C41=-1,-1,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v>
      </c>
      <c r="D42" s="47">
        <f t="shared" si="0"/>
        <v>-1</v>
      </c>
      <c r="E42" s="46" cm="1">
        <f t="array" ref="E42">1*OR(row_id=income_header_row,row_id=expenses_header_row,row_id=savings_header_row)</f>
        <v>0</v>
      </c>
      <c r="F42" s="1">
        <f t="shared" si="1"/>
        <v>0</v>
      </c>
      <c r="G42" s="1" cm="1">
        <f t="array" ref="G42">1*OR(row_id=income_total_row,row_id=expenses_total_row,row_id=savings_total_row)</f>
        <v>0</v>
      </c>
      <c r="H42" s="47">
        <f t="shared" si="2"/>
        <v>1</v>
      </c>
      <c r="I42" s="46" t="str" cm="1">
        <f t="array" ref="I42">IFERROR(INDEX('Budget Planning'!C:C,header_row_id),"")</f>
        <v/>
      </c>
      <c r="J42" s="1" t="str" cm="1">
        <f t="array" ref="J42">IFERROR(INDEX('Budget Planning'!C:C,row_id),"")</f>
        <v/>
      </c>
      <c r="K42" s="64" t="str" cm="1">
        <f t="array" ref="K42">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2" s="68" t="str" cm="1">
        <f t="array" ref="L42">IF(OR(is_header,is_empty),"",
  INDEX('Budget Planning'!$E:$CI,row_id,
      MATCH(IF(selected_period="Total Year",selected_year,DATE(selected_year,selected_period,1)),'Budget Planning'!$E$9:$CI$9,0)))</f>
        <v/>
      </c>
      <c r="M42" s="46" t="str" cm="1">
        <f t="array" ref="M42">IF(is_category,
  IF(header_row_id=income_header_row,MATCH(income_min_row, $C:$C,0),
  IF(header_row_id=expenses_header_row,MATCH(expenses_min_row, $C:$C,0),
  IF(header_row_id=savings_header_row,MATCH(savings_min_row, $C:$C,0),""))),
 "")</f>
        <v/>
      </c>
      <c r="N42" s="47" t="str" cm="1">
        <f t="array" ref="N42">IF(is_category,
  IF(header_row_id=income_header_row,MATCH(income_max_row, $C:$C,0),
  IF(header_row_id=expenses_header_row,MATCH(expenses_max_row, $C:$C,0),
  IF(header_row_id=savings_header_row,MATCH(savings_max_row, $C:$C,0),""))),
 "")</f>
        <v/>
      </c>
      <c r="O42" s="46" t="str">
        <f t="shared" si="3"/>
        <v/>
      </c>
      <c r="P42" s="1" t="str">
        <f t="shared" ca="1" si="4"/>
        <v/>
      </c>
      <c r="Q42" s="1" t="str">
        <f t="shared" si="5"/>
        <v/>
      </c>
      <c r="R42" s="47" t="str">
        <f t="shared" ca="1" si="6"/>
        <v/>
      </c>
      <c r="S42" s="46" t="str">
        <f t="shared" si="7"/>
        <v/>
      </c>
      <c r="T42" s="1" t="str">
        <f t="shared" si="8"/>
        <v/>
      </c>
      <c r="U42" s="1" t="str">
        <f t="shared" ca="1" si="9"/>
        <v/>
      </c>
      <c r="V42" s="1" t="str">
        <f t="shared" si="10"/>
        <v/>
      </c>
      <c r="W42" s="47" t="str">
        <f t="shared" ca="1" si="11"/>
        <v/>
      </c>
      <c r="X42" s="70">
        <f t="shared" si="12"/>
        <v>-1</v>
      </c>
      <c r="Y42" s="74" t="str">
        <f t="shared" si="13"/>
        <v/>
      </c>
      <c r="Z42" s="135" t="str">
        <f t="shared" si="14"/>
        <v/>
      </c>
      <c r="AA42" s="135" t="str">
        <f t="shared" si="15"/>
        <v/>
      </c>
      <c r="AB42" s="76" t="str">
        <f t="shared" si="16"/>
        <v/>
      </c>
      <c r="AC42" s="135" t="str">
        <f t="shared" si="17"/>
        <v/>
      </c>
      <c r="AD42" s="135" t="str">
        <f t="shared" si="18"/>
        <v/>
      </c>
    </row>
    <row r="43" spans="3:44" x14ac:dyDescent="0.3">
      <c r="C43" s="46" cm="1">
        <f t="array" ref="C43">IF(C42=-1,-1,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v>
      </c>
      <c r="D43" s="47">
        <f t="shared" si="0"/>
        <v>-1</v>
      </c>
      <c r="E43" s="46" cm="1">
        <f t="array" ref="E43">1*OR(row_id=income_header_row,row_id=expenses_header_row,row_id=savings_header_row)</f>
        <v>0</v>
      </c>
      <c r="F43" s="1">
        <f t="shared" si="1"/>
        <v>0</v>
      </c>
      <c r="G43" s="1" cm="1">
        <f t="array" ref="G43">1*OR(row_id=income_total_row,row_id=expenses_total_row,row_id=savings_total_row)</f>
        <v>0</v>
      </c>
      <c r="H43" s="47">
        <f t="shared" si="2"/>
        <v>1</v>
      </c>
      <c r="I43" s="46" t="str" cm="1">
        <f t="array" ref="I43">IFERROR(INDEX('Budget Planning'!C:C,header_row_id),"")</f>
        <v/>
      </c>
      <c r="J43" s="1" t="str" cm="1">
        <f t="array" ref="J43">IFERROR(INDEX('Budget Planning'!C:C,row_id),"")</f>
        <v/>
      </c>
      <c r="K43" s="64" t="str" cm="1">
        <f t="array" ref="K43">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3" s="68" t="str" cm="1">
        <f t="array" ref="L43">IF(OR(is_header,is_empty),"",
  INDEX('Budget Planning'!$E:$CI,row_id,
      MATCH(IF(selected_period="Total Year",selected_year,DATE(selected_year,selected_period,1)),'Budget Planning'!$E$9:$CI$9,0)))</f>
        <v/>
      </c>
      <c r="M43" s="46" t="str" cm="1">
        <f t="array" ref="M43">IF(is_category,
  IF(header_row_id=income_header_row,MATCH(income_min_row, $C:$C,0),
  IF(header_row_id=expenses_header_row,MATCH(expenses_min_row, $C:$C,0),
  IF(header_row_id=savings_header_row,MATCH(savings_min_row, $C:$C,0),""))),
 "")</f>
        <v/>
      </c>
      <c r="N43" s="47" t="str" cm="1">
        <f t="array" ref="N43">IF(is_category,
  IF(header_row_id=income_header_row,MATCH(income_max_row, $C:$C,0),
  IF(header_row_id=expenses_header_row,MATCH(expenses_max_row, $C:$C,0),
  IF(header_row_id=savings_header_row,MATCH(savings_max_row, $C:$C,0),""))),
 "")</f>
        <v/>
      </c>
      <c r="O43" s="46" t="str">
        <f t="shared" si="3"/>
        <v/>
      </c>
      <c r="P43" s="1" t="str">
        <f t="shared" ca="1" si="4"/>
        <v/>
      </c>
      <c r="Q43" s="1" t="str">
        <f t="shared" si="5"/>
        <v/>
      </c>
      <c r="R43" s="47" t="str">
        <f t="shared" ca="1" si="6"/>
        <v/>
      </c>
      <c r="S43" s="46" t="str">
        <f t="shared" si="7"/>
        <v/>
      </c>
      <c r="T43" s="1" t="str">
        <f t="shared" si="8"/>
        <v/>
      </c>
      <c r="U43" s="1" t="str">
        <f t="shared" ca="1" si="9"/>
        <v/>
      </c>
      <c r="V43" s="1" t="str">
        <f t="shared" si="10"/>
        <v/>
      </c>
      <c r="W43" s="47" t="str">
        <f t="shared" ca="1" si="11"/>
        <v/>
      </c>
      <c r="X43" s="70">
        <f t="shared" si="12"/>
        <v>-1</v>
      </c>
      <c r="Y43" s="74" t="str">
        <f t="shared" si="13"/>
        <v/>
      </c>
      <c r="Z43" s="135" t="str">
        <f t="shared" si="14"/>
        <v/>
      </c>
      <c r="AA43" s="135" t="str">
        <f t="shared" si="15"/>
        <v/>
      </c>
      <c r="AB43" s="76" t="str">
        <f t="shared" si="16"/>
        <v/>
      </c>
      <c r="AC43" s="135" t="str">
        <f t="shared" si="17"/>
        <v/>
      </c>
      <c r="AD43" s="135" t="str">
        <f t="shared" si="18"/>
        <v/>
      </c>
    </row>
    <row r="44" spans="3:44" x14ac:dyDescent="0.3">
      <c r="C44" s="46" cm="1">
        <f t="array" ref="C44">IF(C43=-1,-1,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v>
      </c>
      <c r="D44" s="47">
        <f t="shared" si="0"/>
        <v>-1</v>
      </c>
      <c r="E44" s="46" cm="1">
        <f t="array" ref="E44">1*OR(row_id=income_header_row,row_id=expenses_header_row,row_id=savings_header_row)</f>
        <v>0</v>
      </c>
      <c r="F44" s="1">
        <f t="shared" si="1"/>
        <v>0</v>
      </c>
      <c r="G44" s="1" cm="1">
        <f t="array" ref="G44">1*OR(row_id=income_total_row,row_id=expenses_total_row,row_id=savings_total_row)</f>
        <v>0</v>
      </c>
      <c r="H44" s="47">
        <f t="shared" si="2"/>
        <v>1</v>
      </c>
      <c r="I44" s="46" t="str" cm="1">
        <f t="array" ref="I44">IFERROR(INDEX('Budget Planning'!C:C,header_row_id),"")</f>
        <v/>
      </c>
      <c r="J44" s="1" t="str" cm="1">
        <f t="array" ref="J44">IFERROR(INDEX('Budget Planning'!C:C,row_id),"")</f>
        <v/>
      </c>
      <c r="K44" s="64" t="str" cm="1">
        <f t="array" ref="K44">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4" s="68" t="str" cm="1">
        <f t="array" ref="L44">IF(OR(is_header,is_empty),"",
  INDEX('Budget Planning'!$E:$CI,row_id,
      MATCH(IF(selected_period="Total Year",selected_year,DATE(selected_year,selected_period,1)),'Budget Planning'!$E$9:$CI$9,0)))</f>
        <v/>
      </c>
      <c r="M44" s="46" t="str" cm="1">
        <f t="array" ref="M44">IF(is_category,
  IF(header_row_id=income_header_row,MATCH(income_min_row, $C:$C,0),
  IF(header_row_id=expenses_header_row,MATCH(expenses_min_row, $C:$C,0),
  IF(header_row_id=savings_header_row,MATCH(savings_min_row, $C:$C,0),""))),
 "")</f>
        <v/>
      </c>
      <c r="N44" s="47" t="str" cm="1">
        <f t="array" ref="N44">IF(is_category,
  IF(header_row_id=income_header_row,MATCH(income_max_row, $C:$C,0),
  IF(header_row_id=expenses_header_row,MATCH(expenses_max_row, $C:$C,0),
  IF(header_row_id=savings_header_row,MATCH(savings_max_row, $C:$C,0),""))),
 "")</f>
        <v/>
      </c>
      <c r="O44" s="46" t="str">
        <f t="shared" si="3"/>
        <v/>
      </c>
      <c r="P44" s="1" t="str">
        <f t="shared" ca="1" si="4"/>
        <v/>
      </c>
      <c r="Q44" s="1" t="str">
        <f t="shared" si="5"/>
        <v/>
      </c>
      <c r="R44" s="47" t="str">
        <f t="shared" ca="1" si="6"/>
        <v/>
      </c>
      <c r="S44" s="46" t="str">
        <f t="shared" si="7"/>
        <v/>
      </c>
      <c r="T44" s="1" t="str">
        <f t="shared" si="8"/>
        <v/>
      </c>
      <c r="U44" s="1" t="str">
        <f t="shared" ca="1" si="9"/>
        <v/>
      </c>
      <c r="V44" s="1" t="str">
        <f t="shared" si="10"/>
        <v/>
      </c>
      <c r="W44" s="47" t="str">
        <f t="shared" ca="1" si="11"/>
        <v/>
      </c>
      <c r="X44" s="70">
        <f t="shared" si="12"/>
        <v>-1</v>
      </c>
      <c r="Y44" s="74" t="str">
        <f t="shared" si="13"/>
        <v/>
      </c>
      <c r="Z44" s="135" t="str">
        <f t="shared" si="14"/>
        <v/>
      </c>
      <c r="AA44" s="135" t="str">
        <f t="shared" si="15"/>
        <v/>
      </c>
      <c r="AB44" s="76" t="str">
        <f t="shared" si="16"/>
        <v/>
      </c>
      <c r="AC44" s="135" t="str">
        <f t="shared" si="17"/>
        <v/>
      </c>
      <c r="AD44" s="135" t="str">
        <f t="shared" si="18"/>
        <v/>
      </c>
    </row>
    <row r="45" spans="3:44" x14ac:dyDescent="0.3">
      <c r="C45" s="46" cm="1">
        <f t="array" ref="C45">IF(C44=-1,-1,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47">
        <f t="shared" si="0"/>
        <v>-1</v>
      </c>
      <c r="E45" s="46" cm="1">
        <f t="array" ref="E45">1*OR(row_id=income_header_row,row_id=expenses_header_row,row_id=savings_header_row)</f>
        <v>0</v>
      </c>
      <c r="F45" s="1">
        <f t="shared" si="1"/>
        <v>0</v>
      </c>
      <c r="G45" s="1" cm="1">
        <f t="array" ref="G45">1*OR(row_id=income_total_row,row_id=expenses_total_row,row_id=savings_total_row)</f>
        <v>0</v>
      </c>
      <c r="H45" s="47">
        <f t="shared" si="2"/>
        <v>1</v>
      </c>
      <c r="I45" s="46" t="str" cm="1">
        <f t="array" ref="I45">IFERROR(INDEX('Budget Planning'!C:C,header_row_id),"")</f>
        <v/>
      </c>
      <c r="J45" s="1" t="str" cm="1">
        <f t="array" ref="J45">IFERROR(INDEX('Budget Planning'!C:C,row_id),"")</f>
        <v/>
      </c>
      <c r="K45" s="64" t="str" cm="1">
        <f t="array" ref="K45">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5" s="68" t="str" cm="1">
        <f t="array" ref="L45">IF(OR(is_header,is_empty),"",
  INDEX('Budget Planning'!$E:$CI,row_id,
      MATCH(IF(selected_period="Total Year",selected_year,DATE(selected_year,selected_period,1)),'Budget Planning'!$E$9:$CI$9,0)))</f>
        <v/>
      </c>
      <c r="M45" s="46" t="str" cm="1">
        <f t="array" ref="M45">IF(is_category,
  IF(header_row_id=income_header_row,MATCH(income_min_row, $C:$C,0),
  IF(header_row_id=expenses_header_row,MATCH(expenses_min_row, $C:$C,0),
  IF(header_row_id=savings_header_row,MATCH(savings_min_row, $C:$C,0),""))),
 "")</f>
        <v/>
      </c>
      <c r="N45" s="47" t="str" cm="1">
        <f t="array" ref="N45">IF(is_category,
  IF(header_row_id=income_header_row,MATCH(income_max_row, $C:$C,0),
  IF(header_row_id=expenses_header_row,MATCH(expenses_max_row, $C:$C,0),
  IF(header_row_id=savings_header_row,MATCH(savings_max_row, $C:$C,0),""))),
 "")</f>
        <v/>
      </c>
      <c r="O45" s="46" t="str">
        <f t="shared" si="3"/>
        <v/>
      </c>
      <c r="P45" s="1" t="str">
        <f t="shared" ca="1" si="4"/>
        <v/>
      </c>
      <c r="Q45" s="1" t="str">
        <f t="shared" si="5"/>
        <v/>
      </c>
      <c r="R45" s="47" t="str">
        <f t="shared" ca="1" si="6"/>
        <v/>
      </c>
      <c r="S45" s="46" t="str">
        <f t="shared" si="7"/>
        <v/>
      </c>
      <c r="T45" s="1" t="str">
        <f t="shared" si="8"/>
        <v/>
      </c>
      <c r="U45" s="1" t="str">
        <f t="shared" ca="1" si="9"/>
        <v/>
      </c>
      <c r="V45" s="1" t="str">
        <f t="shared" si="10"/>
        <v/>
      </c>
      <c r="W45" s="47" t="str">
        <f t="shared" ca="1" si="11"/>
        <v/>
      </c>
      <c r="X45" s="70">
        <f t="shared" si="12"/>
        <v>-1</v>
      </c>
      <c r="Y45" s="74" t="str">
        <f t="shared" si="13"/>
        <v/>
      </c>
      <c r="Z45" s="135" t="str">
        <f t="shared" si="14"/>
        <v/>
      </c>
      <c r="AA45" s="135" t="str">
        <f t="shared" si="15"/>
        <v/>
      </c>
      <c r="AB45" s="76" t="str">
        <f t="shared" si="16"/>
        <v/>
      </c>
      <c r="AC45" s="135" t="str">
        <f t="shared" si="17"/>
        <v/>
      </c>
      <c r="AD45" s="135" t="str">
        <f t="shared" si="18"/>
        <v/>
      </c>
    </row>
    <row r="46" spans="3:44" x14ac:dyDescent="0.3">
      <c r="C46" s="46" cm="1">
        <f t="array" ref="C46">IF(C45=-1,-1,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47">
        <f t="shared" si="0"/>
        <v>-1</v>
      </c>
      <c r="E46" s="46" cm="1">
        <f t="array" ref="E46">1*OR(row_id=income_header_row,row_id=expenses_header_row,row_id=savings_header_row)</f>
        <v>0</v>
      </c>
      <c r="F46" s="1">
        <f t="shared" si="1"/>
        <v>0</v>
      </c>
      <c r="G46" s="1" cm="1">
        <f t="array" ref="G46">1*OR(row_id=income_total_row,row_id=expenses_total_row,row_id=savings_total_row)</f>
        <v>0</v>
      </c>
      <c r="H46" s="47">
        <f t="shared" si="2"/>
        <v>1</v>
      </c>
      <c r="I46" s="46" t="str" cm="1">
        <f t="array" ref="I46">IFERROR(INDEX('Budget Planning'!C:C,header_row_id),"")</f>
        <v/>
      </c>
      <c r="J46" s="1" t="str" cm="1">
        <f t="array" ref="J46">IFERROR(INDEX('Budget Planning'!C:C,row_id),"")</f>
        <v/>
      </c>
      <c r="K46" s="64" t="str" cm="1">
        <f t="array" ref="K46">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6" s="68" t="str" cm="1">
        <f t="array" ref="L46">IF(OR(is_header,is_empty),"",
  INDEX('Budget Planning'!$E:$CI,row_id,
      MATCH(IF(selected_period="Total Year",selected_year,DATE(selected_year,selected_period,1)),'Budget Planning'!$E$9:$CI$9,0)))</f>
        <v/>
      </c>
      <c r="M46" s="46" t="str" cm="1">
        <f t="array" ref="M46">IF(is_category,
  IF(header_row_id=income_header_row,MATCH(income_min_row, $C:$C,0),
  IF(header_row_id=expenses_header_row,MATCH(expenses_min_row, $C:$C,0),
  IF(header_row_id=savings_header_row,MATCH(savings_min_row, $C:$C,0),""))),
 "")</f>
        <v/>
      </c>
      <c r="N46" s="47" t="str" cm="1">
        <f t="array" ref="N46">IF(is_category,
  IF(header_row_id=income_header_row,MATCH(income_max_row, $C:$C,0),
  IF(header_row_id=expenses_header_row,MATCH(expenses_max_row, $C:$C,0),
  IF(header_row_id=savings_header_row,MATCH(savings_max_row, $C:$C,0),""))),
 "")</f>
        <v/>
      </c>
      <c r="O46" s="46" t="str">
        <f t="shared" si="3"/>
        <v/>
      </c>
      <c r="P46" s="1" t="str">
        <f t="shared" ca="1" si="4"/>
        <v/>
      </c>
      <c r="Q46" s="1" t="str">
        <f t="shared" si="5"/>
        <v/>
      </c>
      <c r="R46" s="47" t="str">
        <f t="shared" ca="1" si="6"/>
        <v/>
      </c>
      <c r="S46" s="46" t="str">
        <f t="shared" si="7"/>
        <v/>
      </c>
      <c r="T46" s="1" t="str">
        <f t="shared" si="8"/>
        <v/>
      </c>
      <c r="U46" s="1" t="str">
        <f t="shared" ca="1" si="9"/>
        <v/>
      </c>
      <c r="V46" s="1" t="str">
        <f t="shared" si="10"/>
        <v/>
      </c>
      <c r="W46" s="47" t="str">
        <f t="shared" ca="1" si="11"/>
        <v/>
      </c>
      <c r="X46" s="70">
        <f t="shared" si="12"/>
        <v>-1</v>
      </c>
      <c r="Y46" s="74" t="str">
        <f t="shared" si="13"/>
        <v/>
      </c>
      <c r="Z46" s="135" t="str">
        <f t="shared" si="14"/>
        <v/>
      </c>
      <c r="AA46" s="135" t="str">
        <f t="shared" si="15"/>
        <v/>
      </c>
      <c r="AB46" s="76" t="str">
        <f t="shared" si="16"/>
        <v/>
      </c>
      <c r="AC46" s="135" t="str">
        <f t="shared" si="17"/>
        <v/>
      </c>
      <c r="AD46" s="135" t="str">
        <f t="shared" si="18"/>
        <v/>
      </c>
    </row>
    <row r="47" spans="3:44" x14ac:dyDescent="0.3">
      <c r="C47" s="46" cm="1">
        <f t="array" ref="C47">IF(C46=-1,-1,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47">
        <f t="shared" si="0"/>
        <v>-1</v>
      </c>
      <c r="E47" s="46" cm="1">
        <f t="array" ref="E47">1*OR(row_id=income_header_row,row_id=expenses_header_row,row_id=savings_header_row)</f>
        <v>0</v>
      </c>
      <c r="F47" s="1">
        <f t="shared" si="1"/>
        <v>0</v>
      </c>
      <c r="G47" s="1" cm="1">
        <f t="array" ref="G47">1*OR(row_id=income_total_row,row_id=expenses_total_row,row_id=savings_total_row)</f>
        <v>0</v>
      </c>
      <c r="H47" s="47">
        <f t="shared" si="2"/>
        <v>1</v>
      </c>
      <c r="I47" s="46" t="str" cm="1">
        <f t="array" ref="I47">IFERROR(INDEX('Budget Planning'!C:C,header_row_id),"")</f>
        <v/>
      </c>
      <c r="J47" s="1" t="str" cm="1">
        <f t="array" ref="J47">IFERROR(INDEX('Budget Planning'!C:C,row_id),"")</f>
        <v/>
      </c>
      <c r="K47" s="64" t="str" cm="1">
        <f t="array" ref="K47">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7" s="68" t="str" cm="1">
        <f t="array" ref="L47">IF(OR(is_header,is_empty),"",
  INDEX('Budget Planning'!$E:$CI,row_id,
      MATCH(IF(selected_period="Total Year",selected_year,DATE(selected_year,selected_period,1)),'Budget Planning'!$E$9:$CI$9,0)))</f>
        <v/>
      </c>
      <c r="M47" s="46" t="str" cm="1">
        <f t="array" ref="M47">IF(is_category,
  IF(header_row_id=income_header_row,MATCH(income_min_row, $C:$C,0),
  IF(header_row_id=expenses_header_row,MATCH(expenses_min_row, $C:$C,0),
  IF(header_row_id=savings_header_row,MATCH(savings_min_row, $C:$C,0),""))),
 "")</f>
        <v/>
      </c>
      <c r="N47" s="47" t="str" cm="1">
        <f t="array" ref="N47">IF(is_category,
  IF(header_row_id=income_header_row,MATCH(income_max_row, $C:$C,0),
  IF(header_row_id=expenses_header_row,MATCH(expenses_max_row, $C:$C,0),
  IF(header_row_id=savings_header_row,MATCH(savings_max_row, $C:$C,0),""))),
 "")</f>
        <v/>
      </c>
      <c r="O47" s="46" t="str">
        <f t="shared" si="3"/>
        <v/>
      </c>
      <c r="P47" s="1" t="str">
        <f t="shared" ca="1" si="4"/>
        <v/>
      </c>
      <c r="Q47" s="1" t="str">
        <f t="shared" si="5"/>
        <v/>
      </c>
      <c r="R47" s="47" t="str">
        <f t="shared" ca="1" si="6"/>
        <v/>
      </c>
      <c r="S47" s="46" t="str">
        <f t="shared" si="7"/>
        <v/>
      </c>
      <c r="T47" s="1" t="str">
        <f t="shared" si="8"/>
        <v/>
      </c>
      <c r="U47" s="1" t="str">
        <f t="shared" ca="1" si="9"/>
        <v/>
      </c>
      <c r="V47" s="1" t="str">
        <f t="shared" si="10"/>
        <v/>
      </c>
      <c r="W47" s="47" t="str">
        <f t="shared" ca="1" si="11"/>
        <v/>
      </c>
      <c r="X47" s="70">
        <f t="shared" si="12"/>
        <v>-1</v>
      </c>
      <c r="Y47" s="74" t="str">
        <f t="shared" si="13"/>
        <v/>
      </c>
      <c r="Z47" s="135" t="str">
        <f t="shared" si="14"/>
        <v/>
      </c>
      <c r="AA47" s="135" t="str">
        <f t="shared" si="15"/>
        <v/>
      </c>
      <c r="AB47" s="76" t="str">
        <f t="shared" si="16"/>
        <v/>
      </c>
      <c r="AC47" s="135" t="str">
        <f t="shared" si="17"/>
        <v/>
      </c>
      <c r="AD47" s="135" t="str">
        <f t="shared" si="18"/>
        <v/>
      </c>
    </row>
    <row r="48" spans="3:44" x14ac:dyDescent="0.3">
      <c r="C48" s="46" cm="1">
        <f t="array" ref="C48">IF(C47=-1,-1,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47">
        <f t="shared" si="0"/>
        <v>-1</v>
      </c>
      <c r="E48" s="46" cm="1">
        <f t="array" ref="E48">1*OR(row_id=income_header_row,row_id=expenses_header_row,row_id=savings_header_row)</f>
        <v>0</v>
      </c>
      <c r="F48" s="1">
        <f t="shared" si="1"/>
        <v>0</v>
      </c>
      <c r="G48" s="1" cm="1">
        <f t="array" ref="G48">1*OR(row_id=income_total_row,row_id=expenses_total_row,row_id=savings_total_row)</f>
        <v>0</v>
      </c>
      <c r="H48" s="47">
        <f t="shared" si="2"/>
        <v>1</v>
      </c>
      <c r="I48" s="46" t="str" cm="1">
        <f t="array" ref="I48">IFERROR(INDEX('Budget Planning'!C:C,header_row_id),"")</f>
        <v/>
      </c>
      <c r="J48" s="1" t="str" cm="1">
        <f t="array" ref="J48">IFERROR(INDEX('Budget Planning'!C:C,row_id),"")</f>
        <v/>
      </c>
      <c r="K48" s="64" t="str" cm="1">
        <f t="array" ref="K48">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8" s="68" t="str" cm="1">
        <f t="array" ref="L48">IF(OR(is_header,is_empty),"",
  INDEX('Budget Planning'!$E:$CI,row_id,
      MATCH(IF(selected_period="Total Year",selected_year,DATE(selected_year,selected_period,1)),'Budget Planning'!$E$9:$CI$9,0)))</f>
        <v/>
      </c>
      <c r="M48" s="46" t="str" cm="1">
        <f t="array" ref="M48">IF(is_category,
  IF(header_row_id=income_header_row,MATCH(income_min_row, $C:$C,0),
  IF(header_row_id=expenses_header_row,MATCH(expenses_min_row, $C:$C,0),
  IF(header_row_id=savings_header_row,MATCH(savings_min_row, $C:$C,0),""))),
 "")</f>
        <v/>
      </c>
      <c r="N48" s="47" t="str" cm="1">
        <f t="array" ref="N48">IF(is_category,
  IF(header_row_id=income_header_row,MATCH(income_max_row, $C:$C,0),
  IF(header_row_id=expenses_header_row,MATCH(expenses_max_row, $C:$C,0),
  IF(header_row_id=savings_header_row,MATCH(savings_max_row, $C:$C,0),""))),
 "")</f>
        <v/>
      </c>
      <c r="O48" s="46" t="str">
        <f t="shared" si="3"/>
        <v/>
      </c>
      <c r="P48" s="1" t="str">
        <f t="shared" ca="1" si="4"/>
        <v/>
      </c>
      <c r="Q48" s="1" t="str">
        <f t="shared" si="5"/>
        <v/>
      </c>
      <c r="R48" s="47" t="str">
        <f t="shared" ca="1" si="6"/>
        <v/>
      </c>
      <c r="S48" s="46" t="str">
        <f t="shared" si="7"/>
        <v/>
      </c>
      <c r="T48" s="1" t="str">
        <f t="shared" si="8"/>
        <v/>
      </c>
      <c r="U48" s="1" t="str">
        <f t="shared" ca="1" si="9"/>
        <v/>
      </c>
      <c r="V48" s="1" t="str">
        <f t="shared" si="10"/>
        <v/>
      </c>
      <c r="W48" s="47" t="str">
        <f t="shared" ca="1" si="11"/>
        <v/>
      </c>
      <c r="X48" s="70">
        <f t="shared" si="12"/>
        <v>-1</v>
      </c>
      <c r="Y48" s="74" t="str">
        <f t="shared" si="13"/>
        <v/>
      </c>
      <c r="Z48" s="135" t="str">
        <f t="shared" si="14"/>
        <v/>
      </c>
      <c r="AA48" s="135" t="str">
        <f t="shared" si="15"/>
        <v/>
      </c>
      <c r="AB48" s="76" t="str">
        <f t="shared" si="16"/>
        <v/>
      </c>
      <c r="AC48" s="135" t="str">
        <f t="shared" si="17"/>
        <v/>
      </c>
      <c r="AD48" s="135" t="str">
        <f t="shared" si="18"/>
        <v/>
      </c>
    </row>
    <row r="49" spans="3:30" x14ac:dyDescent="0.3">
      <c r="C49" s="46" cm="1">
        <f t="array" ref="C49">IF(C48=-1,-1,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47">
        <f t="shared" si="0"/>
        <v>-1</v>
      </c>
      <c r="E49" s="46" cm="1">
        <f t="array" ref="E49">1*OR(row_id=income_header_row,row_id=expenses_header_row,row_id=savings_header_row)</f>
        <v>0</v>
      </c>
      <c r="F49" s="1">
        <f t="shared" si="1"/>
        <v>0</v>
      </c>
      <c r="G49" s="1" cm="1">
        <f t="array" ref="G49">1*OR(row_id=income_total_row,row_id=expenses_total_row,row_id=savings_total_row)</f>
        <v>0</v>
      </c>
      <c r="H49" s="47">
        <f t="shared" si="2"/>
        <v>1</v>
      </c>
      <c r="I49" s="46" t="str" cm="1">
        <f t="array" ref="I49">IFERROR(INDEX('Budget Planning'!C:C,header_row_id),"")</f>
        <v/>
      </c>
      <c r="J49" s="1" t="str" cm="1">
        <f t="array" ref="J49">IFERROR(INDEX('Budget Planning'!C:C,row_id),"")</f>
        <v/>
      </c>
      <c r="K49" s="64" t="str" cm="1">
        <f t="array" ref="K49">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9" s="68" t="str" cm="1">
        <f t="array" ref="L49">IF(OR(is_header,is_empty),"",
  INDEX('Budget Planning'!$E:$CI,row_id,
      MATCH(IF(selected_period="Total Year",selected_year,DATE(selected_year,selected_period,1)),'Budget Planning'!$E$9:$CI$9,0)))</f>
        <v/>
      </c>
      <c r="M49" s="46" t="str" cm="1">
        <f t="array" ref="M49">IF(is_category,
  IF(header_row_id=income_header_row,MATCH(income_min_row, $C:$C,0),
  IF(header_row_id=expenses_header_row,MATCH(expenses_min_row, $C:$C,0),
  IF(header_row_id=savings_header_row,MATCH(savings_min_row, $C:$C,0),""))),
 "")</f>
        <v/>
      </c>
      <c r="N49" s="47" t="str" cm="1">
        <f t="array" ref="N49">IF(is_category,
  IF(header_row_id=income_header_row,MATCH(income_max_row, $C:$C,0),
  IF(header_row_id=expenses_header_row,MATCH(expenses_max_row, $C:$C,0),
  IF(header_row_id=savings_header_row,MATCH(savings_max_row, $C:$C,0),""))),
 "")</f>
        <v/>
      </c>
      <c r="O49" s="46" t="str">
        <f t="shared" si="3"/>
        <v/>
      </c>
      <c r="P49" s="1" t="str">
        <f t="shared" ca="1" si="4"/>
        <v/>
      </c>
      <c r="Q49" s="1" t="str">
        <f t="shared" si="5"/>
        <v/>
      </c>
      <c r="R49" s="47" t="str">
        <f t="shared" ca="1" si="6"/>
        <v/>
      </c>
      <c r="S49" s="46" t="str">
        <f t="shared" si="7"/>
        <v/>
      </c>
      <c r="T49" s="1" t="str">
        <f t="shared" si="8"/>
        <v/>
      </c>
      <c r="U49" s="1" t="str">
        <f t="shared" ca="1" si="9"/>
        <v/>
      </c>
      <c r="V49" s="1" t="str">
        <f t="shared" si="10"/>
        <v/>
      </c>
      <c r="W49" s="47" t="str">
        <f t="shared" ca="1" si="11"/>
        <v/>
      </c>
      <c r="X49" s="70">
        <f t="shared" si="12"/>
        <v>-1</v>
      </c>
      <c r="Y49" s="74" t="str">
        <f t="shared" si="13"/>
        <v/>
      </c>
      <c r="Z49" s="135" t="str">
        <f t="shared" si="14"/>
        <v/>
      </c>
      <c r="AA49" s="135" t="str">
        <f t="shared" si="15"/>
        <v/>
      </c>
      <c r="AB49" s="76" t="str">
        <f t="shared" si="16"/>
        <v/>
      </c>
      <c r="AC49" s="135" t="str">
        <f t="shared" si="17"/>
        <v/>
      </c>
      <c r="AD49" s="135" t="str">
        <f t="shared" si="18"/>
        <v/>
      </c>
    </row>
    <row r="50" spans="3:30" x14ac:dyDescent="0.3">
      <c r="C50" s="46" cm="1">
        <f t="array" ref="C50">IF(C49=-1,-1,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47">
        <f t="shared" si="0"/>
        <v>-1</v>
      </c>
      <c r="E50" s="46" cm="1">
        <f t="array" ref="E50">1*OR(row_id=income_header_row,row_id=expenses_header_row,row_id=savings_header_row)</f>
        <v>0</v>
      </c>
      <c r="F50" s="1">
        <f t="shared" si="1"/>
        <v>0</v>
      </c>
      <c r="G50" s="1" cm="1">
        <f t="array" ref="G50">1*OR(row_id=income_total_row,row_id=expenses_total_row,row_id=savings_total_row)</f>
        <v>0</v>
      </c>
      <c r="H50" s="47">
        <f t="shared" si="2"/>
        <v>1</v>
      </c>
      <c r="I50" s="46" t="str" cm="1">
        <f t="array" ref="I50">IFERROR(INDEX('Budget Planning'!C:C,header_row_id),"")</f>
        <v/>
      </c>
      <c r="J50" s="1" t="str" cm="1">
        <f t="array" ref="J50">IFERROR(INDEX('Budget Planning'!C:C,row_id),"")</f>
        <v/>
      </c>
      <c r="K50" s="64" t="str" cm="1">
        <f t="array" ref="K50">IF(OR(is_header,is_empty),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0" s="68" t="str" cm="1">
        <f t="array" ref="L50">IF(OR(is_header,is_empty),"",
  INDEX('Budget Planning'!$E:$CI,row_id,
      MATCH(IF(selected_period="Total Year",selected_year,DATE(selected_year,selected_period,1)),'Budget Planning'!$E$9:$CI$9,0)))</f>
        <v/>
      </c>
      <c r="M50" s="46" t="str" cm="1">
        <f t="array" ref="M50">IF(is_category,
  IF(header_row_id=income_header_row,MATCH(income_min_row, $C:$C,0),
  IF(header_row_id=expenses_header_row,MATCH(expenses_min_row, $C:$C,0),
  IF(header_row_id=savings_header_row,MATCH(savings_min_row, $C:$C,0),""))),
 "")</f>
        <v/>
      </c>
      <c r="N50" s="47" t="str" cm="1">
        <f t="array" ref="N50">IF(is_category,
  IF(header_row_id=income_header_row,MATCH(income_max_row, $C:$C,0),
  IF(header_row_id=expenses_header_row,MATCH(expenses_max_row, $C:$C,0),
  IF(header_row_id=savings_header_row,MATCH(savings_max_row, $C:$C,0),""))),
 "")</f>
        <v/>
      </c>
      <c r="O50" s="46" t="str">
        <f t="shared" si="3"/>
        <v/>
      </c>
      <c r="P50" s="1" t="str">
        <f t="shared" ca="1" si="4"/>
        <v/>
      </c>
      <c r="Q50" s="1" t="str">
        <f t="shared" si="5"/>
        <v/>
      </c>
      <c r="R50" s="47" t="str">
        <f t="shared" ca="1" si="6"/>
        <v/>
      </c>
      <c r="S50" s="46" t="str">
        <f t="shared" si="7"/>
        <v/>
      </c>
      <c r="T50" s="1" t="str">
        <f t="shared" si="8"/>
        <v/>
      </c>
      <c r="U50" s="1" t="str">
        <f t="shared" ca="1" si="9"/>
        <v/>
      </c>
      <c r="V50" s="1" t="str">
        <f t="shared" si="10"/>
        <v/>
      </c>
      <c r="W50" s="47" t="str">
        <f t="shared" ca="1" si="11"/>
        <v/>
      </c>
      <c r="X50" s="70">
        <f t="shared" si="12"/>
        <v>-1</v>
      </c>
      <c r="Y50" s="74" t="str">
        <f t="shared" si="13"/>
        <v/>
      </c>
      <c r="Z50" s="135" t="str">
        <f t="shared" si="14"/>
        <v/>
      </c>
      <c r="AA50" s="135" t="str">
        <f t="shared" si="15"/>
        <v/>
      </c>
      <c r="AB50" s="76" t="str">
        <f t="shared" si="16"/>
        <v/>
      </c>
      <c r="AC50" s="135" t="str">
        <f t="shared" si="17"/>
        <v/>
      </c>
      <c r="AD50" s="135" t="str">
        <f t="shared" si="18"/>
        <v/>
      </c>
    </row>
    <row r="51" spans="3:30" x14ac:dyDescent="0.3">
      <c r="Y51" s="74"/>
      <c r="Z51" s="136"/>
      <c r="AA51" s="136"/>
      <c r="AB51" s="75"/>
      <c r="AC51" s="136"/>
      <c r="AD51" s="136"/>
    </row>
    <row r="52" spans="3:30" x14ac:dyDescent="0.3">
      <c r="Y52" s="74"/>
      <c r="Z52" s="136"/>
      <c r="AA52" s="136"/>
      <c r="AB52" s="75"/>
      <c r="AC52" s="136"/>
      <c r="AD52" s="136"/>
    </row>
    <row r="53" spans="3:30" x14ac:dyDescent="0.3">
      <c r="Y53" s="74"/>
      <c r="Z53" s="136"/>
      <c r="AA53" s="136"/>
      <c r="AB53" s="75"/>
      <c r="AC53" s="136"/>
      <c r="AD53" s="136"/>
    </row>
    <row r="54" spans="3:30" x14ac:dyDescent="0.3">
      <c r="Y54" s="74"/>
      <c r="Z54" s="136"/>
      <c r="AA54" s="136"/>
      <c r="AB54" s="75"/>
      <c r="AC54" s="136"/>
      <c r="AD54" s="136"/>
    </row>
  </sheetData>
  <mergeCells count="9">
    <mergeCell ref="D6:G6"/>
    <mergeCell ref="Y11:AD11"/>
    <mergeCell ref="AF11:AR11"/>
    <mergeCell ref="AQ5:AR5"/>
    <mergeCell ref="AQ6:AR6"/>
    <mergeCell ref="AN6:AP6"/>
    <mergeCell ref="AQ8:AR8"/>
    <mergeCell ref="AN9:AP9"/>
    <mergeCell ref="AQ9:AR9"/>
  </mergeCells>
  <conditionalFormatting sqref="Y13:AD50">
    <cfRule type="expression" dxfId="24" priority="19" stopIfTrue="1">
      <formula>row_id=expenses_header_row</formula>
    </cfRule>
    <cfRule type="expression" dxfId="23" priority="20" stopIfTrue="1">
      <formula>row_id=income_header_row</formula>
    </cfRule>
    <cfRule type="expression" dxfId="22" priority="21" stopIfTrue="1">
      <formula>row_id=savings_header_row</formula>
    </cfRule>
    <cfRule type="expression" dxfId="21" priority="22" stopIfTrue="1">
      <formula>is_total</formula>
    </cfRule>
  </conditionalFormatting>
  <conditionalFormatting sqref="AB13:AB50">
    <cfRule type="expression" dxfId="20" priority="23" stopIfTrue="1">
      <formula>AND(OR(is_category, is_total), out_budget&gt;0, out_percentage_completed&gt;=1, header_row_id=income_header_row)</formula>
    </cfRule>
    <cfRule type="expression" dxfId="19" priority="24" stopIfTrue="1">
      <formula>AND(OR(is_category, is_total), out_budget&gt;0, out_percentage_completed&gt;=1, header_row_id=expenses_header_row)</formula>
    </cfRule>
    <cfRule type="expression" dxfId="18" priority="25" stopIfTrue="1">
      <formula>AND(OR(is_category, is_total), out_budget&gt;0, out_percentage_completed&gt;=1, header_row_id=savings_header_row)</formula>
    </cfRule>
    <cfRule type="dataBar" priority="26">
      <dataBar>
        <cfvo type="num" val="0"/>
        <cfvo type="num" val="1"/>
        <color theme="0" tint="-0.249977111117893"/>
      </dataBar>
      <extLst>
        <ext xmlns:x14="http://schemas.microsoft.com/office/spreadsheetml/2009/9/main" uri="{B025F937-C7B1-47D3-B67F-A62EFF666E3E}">
          <x14:id>{A50E68B1-785F-4082-8A94-35727BED22F6}</x14:id>
        </ext>
      </extLst>
    </cfRule>
  </conditionalFormatting>
  <conditionalFormatting sqref="AH16">
    <cfRule type="expression" dxfId="17" priority="13">
      <formula>AI16&lt;&gt;""</formula>
    </cfRule>
  </conditionalFormatting>
  <conditionalFormatting sqref="AH17">
    <cfRule type="expression" dxfId="16" priority="14">
      <formula>AI17&lt;&gt;""</formula>
    </cfRule>
  </conditionalFormatting>
  <conditionalFormatting sqref="AH18">
    <cfRule type="expression" dxfId="15" priority="15">
      <formula>AI18&lt;&gt;""</formula>
    </cfRule>
  </conditionalFormatting>
  <conditionalFormatting sqref="AH19">
    <cfRule type="expression" dxfId="14" priority="16">
      <formula>AI19&lt;&gt;""</formula>
    </cfRule>
  </conditionalFormatting>
  <conditionalFormatting sqref="AH20">
    <cfRule type="expression" dxfId="13" priority="17">
      <formula>AI20&lt;&gt;""</formula>
    </cfRule>
  </conditionalFormatting>
  <conditionalFormatting sqref="AH21">
    <cfRule type="expression" dxfId="12" priority="18">
      <formula>AI21&lt;&gt;""</formula>
    </cfRule>
  </conditionalFormatting>
  <conditionalFormatting sqref="AH29">
    <cfRule type="expression" dxfId="11" priority="7">
      <formula>AI29&lt;&gt;""</formula>
    </cfRule>
  </conditionalFormatting>
  <conditionalFormatting sqref="AH30">
    <cfRule type="expression" dxfId="10" priority="8">
      <formula>AI30&lt;&gt;""</formula>
    </cfRule>
  </conditionalFormatting>
  <conditionalFormatting sqref="AH31">
    <cfRule type="expression" dxfId="9" priority="9">
      <formula>AI31&lt;&gt;""</formula>
    </cfRule>
  </conditionalFormatting>
  <conditionalFormatting sqref="AH32">
    <cfRule type="expression" dxfId="8" priority="10">
      <formula>AI32&lt;&gt;""</formula>
    </cfRule>
  </conditionalFormatting>
  <conditionalFormatting sqref="AH33">
    <cfRule type="expression" dxfId="7" priority="11">
      <formula>AI33&lt;&gt;""</formula>
    </cfRule>
  </conditionalFormatting>
  <conditionalFormatting sqref="AH34">
    <cfRule type="expression" dxfId="6" priority="12">
      <formula>AI34&lt;&gt;""</formula>
    </cfRule>
  </conditionalFormatting>
  <conditionalFormatting sqref="AO29">
    <cfRule type="expression" dxfId="5" priority="1">
      <formula>AP29&lt;&gt;""</formula>
    </cfRule>
  </conditionalFormatting>
  <conditionalFormatting sqref="AO30">
    <cfRule type="expression" dxfId="4" priority="2">
      <formula>AP30&lt;&gt;""</formula>
    </cfRule>
  </conditionalFormatting>
  <conditionalFormatting sqref="AO31">
    <cfRule type="expression" dxfId="3" priority="3">
      <formula>AP31&lt;&gt;""</formula>
    </cfRule>
  </conditionalFormatting>
  <conditionalFormatting sqref="AO32">
    <cfRule type="expression" dxfId="2" priority="4">
      <formula>AP32&lt;&gt;""</formula>
    </cfRule>
  </conditionalFormatting>
  <conditionalFormatting sqref="AO33">
    <cfRule type="expression" dxfId="1" priority="5">
      <formula>AP33&lt;&gt;""</formula>
    </cfRule>
  </conditionalFormatting>
  <conditionalFormatting sqref="AO34">
    <cfRule type="expression" dxfId="0" priority="6">
      <formula>AP34&lt;&gt;""</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057" r:id="rId4" name="Check Box 9">
              <controlPr defaultSize="0" autoFill="0" autoLine="0" autoPict="0">
                <anchor moveWithCells="1">
                  <from>
                    <xdr:col>42</xdr:col>
                    <xdr:colOff>411480</xdr:colOff>
                    <xdr:row>12</xdr:row>
                    <xdr:rowOff>121920</xdr:rowOff>
                  </from>
                  <to>
                    <xdr:col>43</xdr:col>
                    <xdr:colOff>99060</xdr:colOff>
                    <xdr:row>13</xdr:row>
                    <xdr:rowOff>121920</xdr:rowOff>
                  </to>
                </anchor>
              </controlPr>
            </control>
          </mc:Choice>
        </mc:AlternateContent>
        <mc:AlternateContent xmlns:mc="http://schemas.openxmlformats.org/markup-compatibility/2006">
          <mc:Choice Requires="x14">
            <control shapeId="2058" r:id="rId5" name="Check Box 10">
              <controlPr defaultSize="0" autoFill="0" autoLine="0" autoPict="0">
                <anchor moveWithCells="1">
                  <from>
                    <xdr:col>42</xdr:col>
                    <xdr:colOff>411480</xdr:colOff>
                    <xdr:row>13</xdr:row>
                    <xdr:rowOff>106680</xdr:rowOff>
                  </from>
                  <to>
                    <xdr:col>43</xdr:col>
                    <xdr:colOff>99060</xdr:colOff>
                    <xdr:row>14</xdr:row>
                    <xdr:rowOff>99060</xdr:rowOff>
                  </to>
                </anchor>
              </controlPr>
            </control>
          </mc:Choice>
        </mc:AlternateContent>
        <mc:AlternateContent xmlns:mc="http://schemas.openxmlformats.org/markup-compatibility/2006">
          <mc:Choice Requires="x14">
            <control shapeId="2059" r:id="rId6" name="Check Box 11">
              <controlPr defaultSize="0" autoFill="0" autoLine="0" autoPict="0">
                <anchor moveWithCells="1">
                  <from>
                    <xdr:col>42</xdr:col>
                    <xdr:colOff>411480</xdr:colOff>
                    <xdr:row>14</xdr:row>
                    <xdr:rowOff>76200</xdr:rowOff>
                  </from>
                  <to>
                    <xdr:col>43</xdr:col>
                    <xdr:colOff>99060</xdr:colOff>
                    <xdr:row>15</xdr:row>
                    <xdr:rowOff>68580</xdr:rowOff>
                  </to>
                </anchor>
              </controlPr>
            </control>
          </mc:Choice>
        </mc:AlternateContent>
        <mc:AlternateContent xmlns:mc="http://schemas.openxmlformats.org/markup-compatibility/2006">
          <mc:Choice Requires="x14">
            <control shapeId="2060" r:id="rId7" name="Check Box 12">
              <controlPr defaultSize="0" autoFill="0" autoLine="0" autoPict="0">
                <anchor moveWithCells="1">
                  <from>
                    <xdr:col>41</xdr:col>
                    <xdr:colOff>861060</xdr:colOff>
                    <xdr:row>12</xdr:row>
                    <xdr:rowOff>121920</xdr:rowOff>
                  </from>
                  <to>
                    <xdr:col>42</xdr:col>
                    <xdr:colOff>365760</xdr:colOff>
                    <xdr:row>13</xdr:row>
                    <xdr:rowOff>121920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A50E68B1-785F-4082-8A94-35727BED22F6}">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D8675C98-BF5E-4B19-ADBB-31CD43192803}">
          <x14:formula1>
            <xm:f>'Dropdown Data'!$C$8:$C$18</xm:f>
          </x14:formula1>
          <xm:sqref>AQ6:AR6</xm:sqref>
        </x14:dataValidation>
        <x14:dataValidation type="list" allowBlank="1" showInputMessage="1" showErrorMessage="1" xr:uid="{68864BD8-8862-4ED0-B242-F06F3AAA3448}">
          <x14:formula1>
            <xm:f>'Dropdown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3E8C-ED56-44B0-B124-B32110FF8E59}">
  <sheetPr>
    <tabColor rgb="FF002060"/>
  </sheetPr>
  <dimension ref="B2:O8"/>
  <sheetViews>
    <sheetView workbookViewId="0">
      <selection activeCell="K16" sqref="K16"/>
    </sheetView>
  </sheetViews>
  <sheetFormatPr defaultRowHeight="14.4" x14ac:dyDescent="0.3"/>
  <cols>
    <col min="2" max="2" width="14" customWidth="1"/>
    <col min="3" max="3" width="14.33203125" customWidth="1"/>
    <col min="4" max="5" width="7.109375" customWidth="1"/>
    <col min="6" max="6" width="12.109375" bestFit="1" customWidth="1"/>
    <col min="7" max="7" width="14.33203125" customWidth="1"/>
    <col min="8" max="9" width="7.109375" customWidth="1"/>
    <col min="11" max="11" width="14.33203125" customWidth="1"/>
    <col min="12" max="13" width="7.109375" customWidth="1"/>
    <col min="14" max="14" width="13.88671875" bestFit="1" customWidth="1"/>
    <col min="15" max="15" width="14.109375" customWidth="1"/>
  </cols>
  <sheetData>
    <row r="2" spans="2:15" x14ac:dyDescent="0.3">
      <c r="B2" t="s">
        <v>349</v>
      </c>
      <c r="C2" s="169">
        <v>142</v>
      </c>
      <c r="D2" t="s">
        <v>350</v>
      </c>
      <c r="F2" s="174">
        <f>C2-SUM(C5,G5,K5,O5)</f>
        <v>0</v>
      </c>
    </row>
    <row r="4" spans="2:15" ht="15.6" x14ac:dyDescent="0.3">
      <c r="B4" s="170" t="s">
        <v>328</v>
      </c>
      <c r="C4" s="156"/>
      <c r="F4" s="170" t="s">
        <v>336</v>
      </c>
      <c r="G4" s="156"/>
      <c r="H4" s="169"/>
      <c r="I4" s="169"/>
      <c r="J4" s="170" t="s">
        <v>419</v>
      </c>
      <c r="K4" s="156"/>
      <c r="N4" s="170"/>
      <c r="O4" s="156"/>
    </row>
    <row r="5" spans="2:15" x14ac:dyDescent="0.3">
      <c r="B5" s="169" t="s">
        <v>327</v>
      </c>
      <c r="C5" s="169">
        <v>142</v>
      </c>
      <c r="D5" s="169"/>
      <c r="E5" s="169"/>
      <c r="F5" s="169" t="s">
        <v>327</v>
      </c>
      <c r="G5" s="169"/>
      <c r="J5" s="169" t="s">
        <v>327</v>
      </c>
      <c r="K5" s="169"/>
      <c r="N5" s="169" t="s">
        <v>327</v>
      </c>
      <c r="O5" s="169"/>
    </row>
    <row r="6" spans="2:15" x14ac:dyDescent="0.3">
      <c r="B6" s="169" t="s">
        <v>326</v>
      </c>
      <c r="C6" s="169">
        <v>9600</v>
      </c>
      <c r="D6" s="169"/>
      <c r="E6" s="169"/>
      <c r="F6" s="169" t="s">
        <v>326</v>
      </c>
      <c r="G6" s="169">
        <v>2000</v>
      </c>
      <c r="J6" s="169" t="s">
        <v>326</v>
      </c>
      <c r="K6" s="169"/>
      <c r="N6" s="169" t="s">
        <v>326</v>
      </c>
      <c r="O6" s="169"/>
    </row>
    <row r="8" spans="2:15" x14ac:dyDescent="0.3">
      <c r="C8" s="17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5650-4558-4966-A95A-0B282FDADD32}">
  <sheetPr>
    <tabColor rgb="FF002060"/>
  </sheetPr>
  <dimension ref="B1:Q32"/>
  <sheetViews>
    <sheetView workbookViewId="0">
      <selection activeCell="H17" sqref="H17"/>
    </sheetView>
  </sheetViews>
  <sheetFormatPr defaultRowHeight="14.4" x14ac:dyDescent="0.3"/>
  <cols>
    <col min="1" max="1" width="3" customWidth="1"/>
    <col min="2" max="3" width="23.44140625" style="145" customWidth="1"/>
    <col min="4" max="4" width="24.33203125" style="145" customWidth="1"/>
    <col min="5" max="7" width="23.44140625" style="145" customWidth="1"/>
    <col min="8" max="8" width="27.33203125" customWidth="1"/>
    <col min="9" max="9" width="24.88671875" customWidth="1"/>
    <col min="10" max="10" width="10" customWidth="1"/>
    <col min="11" max="11" width="14.6640625" bestFit="1" customWidth="1"/>
    <col min="12" max="12" width="9.6640625" customWidth="1"/>
    <col min="13" max="13" width="9.6640625" bestFit="1" customWidth="1"/>
    <col min="16" max="16" width="3.6640625" customWidth="1"/>
    <col min="17" max="17" width="8.88671875" customWidth="1"/>
    <col min="20" max="20" width="2.5546875" customWidth="1"/>
  </cols>
  <sheetData>
    <row r="1" spans="2:17" ht="16.2" customHeight="1" x14ac:dyDescent="0.3">
      <c r="D1" s="145" t="s">
        <v>230</v>
      </c>
      <c r="E1" s="150">
        <f>1-0.366</f>
        <v>0.63400000000000001</v>
      </c>
    </row>
    <row r="2" spans="2:17" s="144" customFormat="1" x14ac:dyDescent="0.3">
      <c r="B2" s="189" t="s">
        <v>200</v>
      </c>
      <c r="C2" s="189"/>
      <c r="D2" s="189" t="s">
        <v>215</v>
      </c>
      <c r="E2" s="189"/>
      <c r="F2" s="189" t="s">
        <v>137</v>
      </c>
      <c r="G2" s="189"/>
      <c r="H2" s="189" t="s">
        <v>190</v>
      </c>
      <c r="I2" s="189"/>
      <c r="L2" s="148" t="s">
        <v>204</v>
      </c>
      <c r="M2" s="148"/>
    </row>
    <row r="3" spans="2:17" x14ac:dyDescent="0.3">
      <c r="B3" s="146" t="s">
        <v>188</v>
      </c>
      <c r="C3" s="146" t="s">
        <v>202</v>
      </c>
      <c r="D3" s="146" t="s">
        <v>187</v>
      </c>
      <c r="E3" s="146" t="s">
        <v>216</v>
      </c>
      <c r="F3" s="146" t="s">
        <v>139</v>
      </c>
      <c r="G3" s="146" t="s">
        <v>138</v>
      </c>
      <c r="H3" s="146" t="s">
        <v>189</v>
      </c>
      <c r="I3" s="146" t="s">
        <v>191</v>
      </c>
      <c r="L3" s="156" t="s">
        <v>205</v>
      </c>
      <c r="M3" s="156" t="s">
        <v>206</v>
      </c>
      <c r="N3" s="156" t="s">
        <v>207</v>
      </c>
    </row>
    <row r="4" spans="2:17" x14ac:dyDescent="0.3">
      <c r="B4" s="145" t="s">
        <v>214</v>
      </c>
      <c r="C4" s="145">
        <v>1545</v>
      </c>
      <c r="D4" s="145" t="s">
        <v>201</v>
      </c>
      <c r="E4" s="145">
        <v>4300</v>
      </c>
      <c r="F4" s="145" t="s">
        <v>135</v>
      </c>
      <c r="G4" s="145" cm="1">
        <f t="array" ref="G4">(LOOKUP(2,--1/('[1]Checking Account Value'!$F$3:$F$54&lt;&gt;""),'[1]Checking Account Value'!$F$3:$F$54))</f>
        <v>917</v>
      </c>
      <c r="H4" s="145" t="s">
        <v>192</v>
      </c>
      <c r="I4" s="145">
        <v>190</v>
      </c>
      <c r="K4" s="155" t="s">
        <v>208</v>
      </c>
      <c r="L4" s="158">
        <f>(($E$4*L8)+($C$5*L12)+($C$4*L16)+($E$5*L20))/$E$13</f>
        <v>0.1633496100263816</v>
      </c>
      <c r="M4" s="158">
        <f t="shared" ref="M4:N4" si="0">(($E$4*M8)+($C$5*M12)+($C$4*M16)+($E$5*M20))/$E$13</f>
        <v>0.28524923734147861</v>
      </c>
      <c r="N4" s="158">
        <f t="shared" si="0"/>
        <v>0.1439218473394929</v>
      </c>
      <c r="O4" s="157">
        <f>SUM(L4:N4)</f>
        <v>0.59252069470735313</v>
      </c>
    </row>
    <row r="5" spans="2:17" x14ac:dyDescent="0.3">
      <c r="B5" s="145" t="s">
        <v>228</v>
      </c>
      <c r="C5" s="145">
        <f>4908+672</f>
        <v>5580</v>
      </c>
      <c r="D5" s="145" t="s">
        <v>235</v>
      </c>
      <c r="E5" s="145">
        <v>1111</v>
      </c>
      <c r="F5" s="145" t="s">
        <v>136</v>
      </c>
      <c r="G5" s="145" cm="1">
        <f t="array" ref="G5">(LOOKUP(2,--1/('[1]Savings Account Value'!$F$3:$F$54&lt;&gt;""),'[1]Savings Account Value'!$F$3:$F$54))</f>
        <v>4572.68</v>
      </c>
      <c r="H5" s="145"/>
      <c r="I5" s="145"/>
      <c r="K5" s="155" t="s">
        <v>209</v>
      </c>
      <c r="L5" s="158">
        <f t="shared" ref="L5:N5" si="1">(($E$4*L9)+($C$5*L13)+($C$4*L17)+($E$5*L21))/$E$13</f>
        <v>5.3594251099615971E-2</v>
      </c>
      <c r="M5" s="158">
        <f t="shared" si="1"/>
        <v>8.503441259385168E-2</v>
      </c>
      <c r="N5" s="158">
        <f t="shared" si="1"/>
        <v>5.3753721290573854E-2</v>
      </c>
      <c r="O5" s="157">
        <f t="shared" ref="O5:O6" si="2">SUM(L5:N5)</f>
        <v>0.1923823849840415</v>
      </c>
    </row>
    <row r="6" spans="2:17" x14ac:dyDescent="0.3">
      <c r="B6" s="145" t="s">
        <v>146</v>
      </c>
      <c r="C6" s="145">
        <v>0.19</v>
      </c>
      <c r="F6" s="145" t="s">
        <v>157</v>
      </c>
      <c r="G6" s="145">
        <v>56</v>
      </c>
      <c r="H6" s="145"/>
      <c r="I6" s="145"/>
      <c r="K6" s="155" t="s">
        <v>210</v>
      </c>
      <c r="L6" s="158">
        <f t="shared" ref="L6:N6" si="3">(($E$4*L10)+($C$5*L14)+($C$4*L18)+($E$5*L22))/$E$13</f>
        <v>5.3428647439775094E-2</v>
      </c>
      <c r="M6" s="158">
        <f t="shared" si="3"/>
        <v>6.5646517454702416E-2</v>
      </c>
      <c r="N6" s="158">
        <f t="shared" si="3"/>
        <v>4.3247089094002308E-2</v>
      </c>
      <c r="O6" s="157">
        <f t="shared" si="2"/>
        <v>0.16232225398847983</v>
      </c>
      <c r="Q6" s="168"/>
    </row>
    <row r="7" spans="2:17" x14ac:dyDescent="0.3">
      <c r="B7" s="145" t="s">
        <v>150</v>
      </c>
      <c r="C7" s="151">
        <v>317</v>
      </c>
      <c r="H7" s="145"/>
      <c r="I7" s="145"/>
    </row>
    <row r="8" spans="2:17" x14ac:dyDescent="0.3">
      <c r="H8" s="145"/>
      <c r="I8" s="145"/>
      <c r="K8" s="152" t="s">
        <v>211</v>
      </c>
      <c r="L8" s="157">
        <v>0.21</v>
      </c>
      <c r="M8" s="157">
        <v>0.34</v>
      </c>
      <c r="N8" s="157">
        <v>0.19</v>
      </c>
      <c r="O8" s="150"/>
    </row>
    <row r="9" spans="2:17" ht="15.6" x14ac:dyDescent="0.3">
      <c r="B9" s="189" t="s">
        <v>141</v>
      </c>
      <c r="C9" s="189"/>
      <c r="D9" s="189"/>
      <c r="E9" s="148"/>
      <c r="F9" s="148"/>
      <c r="G9" s="148"/>
      <c r="H9" s="188" t="s">
        <v>229</v>
      </c>
      <c r="I9" s="188"/>
      <c r="J9" s="188"/>
      <c r="L9" s="157">
        <v>0.06</v>
      </c>
      <c r="M9" s="157">
        <v>0.08</v>
      </c>
      <c r="N9" s="157">
        <v>0.05</v>
      </c>
      <c r="O9" s="150"/>
    </row>
    <row r="10" spans="2:17" x14ac:dyDescent="0.3">
      <c r="B10" s="146" t="s">
        <v>199</v>
      </c>
      <c r="C10" s="146" t="s">
        <v>187</v>
      </c>
      <c r="D10" s="146" t="s">
        <v>190</v>
      </c>
      <c r="E10" s="165" t="s">
        <v>137</v>
      </c>
      <c r="F10" s="190" t="s">
        <v>226</v>
      </c>
      <c r="G10" s="191"/>
      <c r="H10" s="146" t="s">
        <v>193</v>
      </c>
      <c r="I10" s="146" t="s">
        <v>194</v>
      </c>
      <c r="J10" s="146" t="s">
        <v>195</v>
      </c>
      <c r="K10" s="157">
        <v>7.0000000000000001E-3</v>
      </c>
      <c r="L10" s="157">
        <v>0.02</v>
      </c>
      <c r="M10" s="157">
        <v>0.02</v>
      </c>
      <c r="N10" s="163">
        <v>0.02</v>
      </c>
      <c r="O10" s="150"/>
    </row>
    <row r="11" spans="2:17" x14ac:dyDescent="0.3">
      <c r="B11" s="147">
        <f>SUM(aa_accounts[U.S. Amount])</f>
        <v>7442.19</v>
      </c>
      <c r="C11" s="147">
        <f>SUM(aa_accounts[Index Amount])</f>
        <v>5411</v>
      </c>
      <c r="D11" s="152">
        <f>SUM(aa_accounts[Crypto Amount])</f>
        <v>190</v>
      </c>
      <c r="E11" s="166">
        <f>SUM(aa_accounts[Cash Amount])</f>
        <v>5545.68</v>
      </c>
      <c r="F11" s="145" t="s">
        <v>199</v>
      </c>
      <c r="G11" s="164">
        <f>I11-aa_totals[[#This Row],[U.S. Market]]</f>
        <v>-268.43549999999959</v>
      </c>
      <c r="H11" s="145" t="s">
        <v>199</v>
      </c>
      <c r="I11" s="145">
        <f>J11*(($E$12-$I$14))</f>
        <v>7173.7545</v>
      </c>
      <c r="J11" s="150">
        <v>0.55000000000000004</v>
      </c>
      <c r="M11" s="157"/>
      <c r="N11" s="159"/>
    </row>
    <row r="12" spans="2:17" x14ac:dyDescent="0.3">
      <c r="B12" s="187" t="s">
        <v>140</v>
      </c>
      <c r="C12" s="187"/>
      <c r="E12" s="167">
        <f>SUM(aa_totals[])</f>
        <v>18588.87</v>
      </c>
      <c r="F12" s="145" t="s">
        <v>187</v>
      </c>
      <c r="G12" s="164" cm="1">
        <f t="array" ref="G12">I12-aa_totals[World Index]</f>
        <v>-193.72400000000016</v>
      </c>
      <c r="H12" s="145" t="s">
        <v>187</v>
      </c>
      <c r="I12" s="145">
        <f>(J12*($E$12-$I$14))</f>
        <v>5217.2759999999998</v>
      </c>
      <c r="J12" s="150">
        <v>0.4</v>
      </c>
      <c r="K12" s="150" t="s">
        <v>212</v>
      </c>
      <c r="L12" s="157">
        <v>0.22</v>
      </c>
      <c r="M12" s="157">
        <v>0.4</v>
      </c>
      <c r="N12" s="157">
        <v>0.19</v>
      </c>
      <c r="O12" s="150"/>
    </row>
    <row r="13" spans="2:17" x14ac:dyDescent="0.3">
      <c r="B13" s="145" cm="1">
        <f t="array" ref="B13">aa_totals[U.S. Market]+(aa_totals[World Index]*E1)</f>
        <v>10872.763999999999</v>
      </c>
      <c r="C13" s="145" cm="1">
        <f t="array" ref="C13">aa_totals[World Index]-(E4*E1)</f>
        <v>2684.8</v>
      </c>
      <c r="D13" s="145" cm="1">
        <f t="array" ref="D13">aa_totals[Cryptocurrency]</f>
        <v>190</v>
      </c>
      <c r="E13" s="167">
        <f>SUM(aa_totals[[U.S. Market]:[Cryptocurrency]])</f>
        <v>13043.189999999999</v>
      </c>
      <c r="F13" s="145" t="s">
        <v>190</v>
      </c>
      <c r="G13" s="164" cm="1">
        <f t="array" ref="G13">I13-aa_totals[Cryptocurrency]</f>
        <v>462.15949999999998</v>
      </c>
      <c r="H13" s="145" t="s">
        <v>190</v>
      </c>
      <c r="I13" s="145">
        <f>J13*($E$12-$I$14)</f>
        <v>652.15949999999998</v>
      </c>
      <c r="J13" s="153">
        <v>0.05</v>
      </c>
      <c r="L13" s="157">
        <v>0.06</v>
      </c>
      <c r="M13" s="157">
        <v>0.08</v>
      </c>
      <c r="N13" s="157">
        <v>0.03</v>
      </c>
      <c r="O13" s="150"/>
    </row>
    <row r="14" spans="2:17" x14ac:dyDescent="0.3">
      <c r="D14"/>
      <c r="E14" s="155"/>
      <c r="F14"/>
      <c r="G14" s="155"/>
      <c r="H14" s="145" t="s">
        <v>196</v>
      </c>
      <c r="I14" s="145" cm="1">
        <f t="array" ref="I14">aa_totals[Cash &amp; Cash Equivalents]</f>
        <v>5545.68</v>
      </c>
      <c r="J14" s="150">
        <f>SUM(J11:J13)</f>
        <v>1</v>
      </c>
      <c r="L14" s="157">
        <v>0</v>
      </c>
      <c r="M14" s="157">
        <v>0</v>
      </c>
      <c r="N14" s="157">
        <v>0</v>
      </c>
      <c r="O14" s="150"/>
    </row>
    <row r="15" spans="2:17" x14ac:dyDescent="0.3">
      <c r="D15"/>
      <c r="E15"/>
      <c r="F15"/>
      <c r="G15"/>
      <c r="N15" s="157"/>
    </row>
    <row r="16" spans="2:17" x14ac:dyDescent="0.3">
      <c r="D16"/>
      <c r="E16"/>
      <c r="F16"/>
      <c r="G16"/>
      <c r="I16" s="161"/>
      <c r="K16" t="s">
        <v>213</v>
      </c>
      <c r="L16" s="157">
        <v>0</v>
      </c>
      <c r="M16" s="157">
        <v>0.01</v>
      </c>
      <c r="N16" s="157">
        <v>0</v>
      </c>
      <c r="O16" s="157"/>
    </row>
    <row r="17" spans="4:15" x14ac:dyDescent="0.3">
      <c r="D17"/>
      <c r="E17"/>
      <c r="F17"/>
      <c r="G17"/>
      <c r="I17" s="154"/>
      <c r="L17" s="157">
        <v>0.04</v>
      </c>
      <c r="M17" s="157">
        <v>0.12</v>
      </c>
      <c r="N17" s="157">
        <v>0.12</v>
      </c>
    </row>
    <row r="18" spans="4:15" x14ac:dyDescent="0.3">
      <c r="D18"/>
      <c r="E18"/>
      <c r="F18"/>
      <c r="G18"/>
      <c r="I18" s="149"/>
      <c r="L18" s="157">
        <v>0.23</v>
      </c>
      <c r="M18" s="157">
        <v>0.28999999999999998</v>
      </c>
      <c r="N18" s="157">
        <v>0.18</v>
      </c>
      <c r="O18" s="157"/>
    </row>
    <row r="19" spans="4:15" x14ac:dyDescent="0.3">
      <c r="D19"/>
      <c r="E19"/>
      <c r="F19"/>
      <c r="G19"/>
      <c r="I19" s="145"/>
    </row>
    <row r="20" spans="4:15" x14ac:dyDescent="0.3">
      <c r="D20"/>
      <c r="E20"/>
      <c r="F20"/>
      <c r="G20"/>
      <c r="I20" s="149"/>
      <c r="J20" s="162"/>
      <c r="K20" t="s">
        <v>235</v>
      </c>
      <c r="L20" s="157">
        <v>0</v>
      </c>
      <c r="M20" s="157">
        <v>0.01</v>
      </c>
      <c r="N20" s="157">
        <v>0</v>
      </c>
      <c r="O20" s="157"/>
    </row>
    <row r="21" spans="4:15" x14ac:dyDescent="0.3">
      <c r="D21"/>
      <c r="E21"/>
      <c r="F21"/>
      <c r="G21"/>
      <c r="I21" s="160"/>
      <c r="L21" s="157">
        <v>0.04</v>
      </c>
      <c r="M21" s="157">
        <v>0.12</v>
      </c>
      <c r="N21" s="157">
        <v>0.12</v>
      </c>
      <c r="O21" s="157"/>
    </row>
    <row r="22" spans="4:15" x14ac:dyDescent="0.3">
      <c r="D22"/>
      <c r="E22"/>
      <c r="F22"/>
      <c r="G22"/>
      <c r="I22" s="160"/>
      <c r="L22" s="157">
        <v>0.23</v>
      </c>
      <c r="M22" s="157">
        <v>0.28999999999999998</v>
      </c>
      <c r="N22" s="157">
        <v>0.18</v>
      </c>
      <c r="O22" s="157"/>
    </row>
    <row r="23" spans="4:15" x14ac:dyDescent="0.3">
      <c r="D23"/>
      <c r="E23"/>
      <c r="F23"/>
      <c r="G23"/>
      <c r="I23" s="160"/>
    </row>
    <row r="24" spans="4:15" x14ac:dyDescent="0.3">
      <c r="D24"/>
      <c r="E24"/>
      <c r="F24"/>
      <c r="G24"/>
      <c r="I24" s="160"/>
    </row>
    <row r="25" spans="4:15" x14ac:dyDescent="0.3">
      <c r="D25"/>
      <c r="E25"/>
      <c r="F25"/>
      <c r="G25"/>
    </row>
    <row r="26" spans="4:15" x14ac:dyDescent="0.3">
      <c r="D26"/>
      <c r="E26"/>
      <c r="F26"/>
      <c r="G26"/>
    </row>
    <row r="27" spans="4:15" x14ac:dyDescent="0.3">
      <c r="D27"/>
      <c r="E27"/>
      <c r="F27"/>
      <c r="G27"/>
    </row>
    <row r="28" spans="4:15" x14ac:dyDescent="0.3">
      <c r="D28"/>
      <c r="E28"/>
      <c r="F28"/>
      <c r="G28"/>
    </row>
    <row r="29" spans="4:15" x14ac:dyDescent="0.3">
      <c r="D29"/>
      <c r="E29"/>
      <c r="F29"/>
      <c r="G29"/>
    </row>
    <row r="30" spans="4:15" x14ac:dyDescent="0.3">
      <c r="D30"/>
      <c r="E30"/>
      <c r="F30"/>
      <c r="G30"/>
    </row>
    <row r="32" spans="4:15" x14ac:dyDescent="0.3">
      <c r="D32" s="149"/>
    </row>
  </sheetData>
  <mergeCells count="8">
    <mergeCell ref="B12:C12"/>
    <mergeCell ref="H9:J9"/>
    <mergeCell ref="H2:I2"/>
    <mergeCell ref="B9:D9"/>
    <mergeCell ref="D2:E2"/>
    <mergeCell ref="B2:C2"/>
    <mergeCell ref="F2:G2"/>
    <mergeCell ref="F10:G10"/>
  </mergeCells>
  <pageMargins left="0.7" right="0.7" top="0.75" bottom="0.75" header="0.3" footer="0.3"/>
  <drawing r:id="rId1"/>
  <legacy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B5AC-73B4-4C7B-9532-80272FFC7ADE}">
  <sheetPr>
    <tabColor rgb="FF002060"/>
  </sheetPr>
  <dimension ref="A1:R102"/>
  <sheetViews>
    <sheetView showGridLines="0" topLeftCell="A43" zoomScale="90" zoomScaleNormal="90" workbookViewId="0">
      <selection activeCell="G55" sqref="G55"/>
    </sheetView>
  </sheetViews>
  <sheetFormatPr defaultColWidth="9.109375" defaultRowHeight="14.4" x14ac:dyDescent="0.3"/>
  <cols>
    <col min="1" max="1" width="9.109375" style="1" customWidth="1"/>
    <col min="2" max="2" width="2.109375" style="1" customWidth="1"/>
    <col min="3" max="3" width="1.44140625" style="1" customWidth="1"/>
    <col min="4" max="4" width="27.44140625" style="1" customWidth="1"/>
    <col min="5" max="5" width="34.88671875" style="1" bestFit="1" customWidth="1"/>
    <col min="6" max="6" width="14.44140625" style="1" customWidth="1"/>
    <col min="7" max="7" width="11.44140625" style="1" customWidth="1"/>
    <col min="8" max="8" width="15.33203125" style="1" customWidth="1"/>
    <col min="9" max="9" width="26.44140625" style="1" customWidth="1"/>
    <col min="10" max="10" width="10" style="109" customWidth="1"/>
    <col min="11" max="11" width="15" style="109" customWidth="1"/>
    <col min="12" max="12" width="13.88671875" style="1" customWidth="1"/>
    <col min="13" max="13" width="20.5546875" style="1" customWidth="1"/>
    <col min="14" max="14" width="19.6640625" style="1" customWidth="1"/>
    <col min="15" max="15" width="15.109375" style="1" customWidth="1"/>
    <col min="16" max="16" width="20.5546875" style="1" customWidth="1"/>
    <col min="17" max="17" width="19.6640625" style="1" customWidth="1"/>
    <col min="18" max="18" width="15.109375" style="1" customWidth="1"/>
    <col min="19" max="16384" width="9.109375" style="1"/>
  </cols>
  <sheetData>
    <row r="1" spans="3:11" s="52" customFormat="1" ht="7.5" customHeight="1" x14ac:dyDescent="0.3">
      <c r="J1" s="108"/>
      <c r="K1" s="113"/>
    </row>
    <row r="2" spans="3:11" s="52" customFormat="1" ht="41.25" customHeight="1" x14ac:dyDescent="0.3">
      <c r="C2" s="53" t="s">
        <v>30</v>
      </c>
      <c r="J2" s="108"/>
      <c r="K2" s="113"/>
    </row>
    <row r="3" spans="3:11" s="52" customFormat="1" ht="7.5" customHeight="1" x14ac:dyDescent="0.3">
      <c r="J3" s="108"/>
      <c r="K3" s="113"/>
    </row>
    <row r="4" spans="3:11" x14ac:dyDescent="0.3">
      <c r="K4" s="114"/>
    </row>
    <row r="5" spans="3:11" x14ac:dyDescent="0.3">
      <c r="K5" s="114"/>
    </row>
    <row r="6" spans="3:11" x14ac:dyDescent="0.3">
      <c r="C6" s="195" t="s">
        <v>31</v>
      </c>
      <c r="D6" s="195"/>
      <c r="E6" s="195"/>
      <c r="F6" s="195"/>
      <c r="K6" s="114"/>
    </row>
    <row r="7" spans="3:11" x14ac:dyDescent="0.3">
      <c r="K7" s="114"/>
    </row>
    <row r="8" spans="3:11" x14ac:dyDescent="0.3">
      <c r="D8" s="9" t="s">
        <v>32</v>
      </c>
      <c r="E8" s="54" cm="1">
        <f t="array" aca="1" ref="E8" ca="1">current_date</f>
        <v>46207</v>
      </c>
      <c r="K8" s="114"/>
    </row>
    <row r="9" spans="3:11" x14ac:dyDescent="0.3">
      <c r="D9" s="9" t="s">
        <v>33</v>
      </c>
      <c r="E9" s="54">
        <f>MAX(Tracking[Date])</f>
        <v>46206</v>
      </c>
      <c r="K9" s="114"/>
    </row>
    <row r="10" spans="3:11" x14ac:dyDescent="0.3">
      <c r="D10" s="9" t="s">
        <v>34</v>
      </c>
      <c r="E10" s="1" t="str">
        <f ca="1">IF(E9=0,"", "(" &amp; _xlfn.DAYS(E8,E9) &amp; " days ago)")</f>
        <v>(1 days ago)</v>
      </c>
      <c r="K10" s="114"/>
    </row>
    <row r="11" spans="3:11" x14ac:dyDescent="0.3">
      <c r="D11" s="9" t="s">
        <v>35</v>
      </c>
      <c r="E11" s="1">
        <f>COUNT(Tracking[Date])</f>
        <v>900</v>
      </c>
      <c r="K11" s="114"/>
    </row>
    <row r="12" spans="3:11" x14ac:dyDescent="0.3">
      <c r="D12" s="9" t="s">
        <v>36</v>
      </c>
      <c r="E12" s="1" t="str" cm="1">
        <f t="array" aca="1" ref="E12" ca="1">"(" &amp; SUMPRODUCT(--(YEAR(Tracking[Date])=YEAR(current_date))) &amp;" this year)"</f>
        <v>(446 this year)</v>
      </c>
      <c r="K12" s="114"/>
    </row>
    <row r="13" spans="3:11" x14ac:dyDescent="0.3">
      <c r="D13" s="9" t="s">
        <v>37</v>
      </c>
      <c r="E13" s="109">
        <f>_xlfn.IFNA(INDEX(Tracking[Balance],MATCH(Calculations!E9,Tracking[Date],0)),"-")</f>
        <v>0</v>
      </c>
      <c r="K13" s="114"/>
    </row>
    <row r="14" spans="3:11" x14ac:dyDescent="0.3">
      <c r="D14" s="9" t="s">
        <v>38</v>
      </c>
      <c r="E14" s="1" t="str">
        <f>IF(E13&gt;=0, "of tracked income left to be allocated", "allocated not covered by income")</f>
        <v>of tracked income left to be allocated</v>
      </c>
      <c r="K14" s="114"/>
    </row>
    <row r="15" spans="3:11" x14ac:dyDescent="0.3">
      <c r="K15" s="114"/>
    </row>
    <row r="16" spans="3:11" x14ac:dyDescent="0.3">
      <c r="K16" s="114"/>
    </row>
    <row r="17" spans="3:14" x14ac:dyDescent="0.3">
      <c r="C17" s="195" t="s">
        <v>31</v>
      </c>
      <c r="D17" s="195"/>
      <c r="E17" s="195"/>
      <c r="F17" s="195"/>
      <c r="K17" s="114"/>
    </row>
    <row r="18" spans="3:14" x14ac:dyDescent="0.3">
      <c r="K18" s="114"/>
    </row>
    <row r="19" spans="3:14" x14ac:dyDescent="0.3">
      <c r="D19" s="9" t="s">
        <v>50</v>
      </c>
      <c r="E19" s="1" cm="1">
        <f t="array" aca="1" ref="E19" ca="1">IF('Budget Dashboard'!$AQ$6="Current Year", YEAR(current_date),'Budget Dashboard'!$AQ$6)</f>
        <v>2026</v>
      </c>
      <c r="K19" s="114"/>
    </row>
    <row r="20" spans="3:14" x14ac:dyDescent="0.3">
      <c r="D20" s="59" t="s">
        <v>51</v>
      </c>
      <c r="E20" s="116" cm="1">
        <f t="array" aca="1" ref="E20:F20" ca="1">IF('Budget Dashboard'!AQ9:AR9="Total Year", "Total Year",
IF('Budget Dashboard'!AQ9:AR9="Current Month", MONTH(current_date),
MONTH('Budget Dashboard'!AQ9:AR9)))</f>
        <v>7</v>
      </c>
      <c r="F20" s="1">
        <f ca="1"/>
        <v>1</v>
      </c>
      <c r="K20" s="114"/>
    </row>
    <row r="21" spans="3:14" x14ac:dyDescent="0.3">
      <c r="D21" s="9" t="s">
        <v>52</v>
      </c>
      <c r="E21" s="60" t="str">
        <f ca="1">IF(selected_period="Total Year", "Total Year",
TEXT(DATE(selected_year, selected_period, 1), "mmmm"))</f>
        <v>July</v>
      </c>
      <c r="K21" s="114"/>
    </row>
    <row r="22" spans="3:14" x14ac:dyDescent="0.3">
      <c r="D22" s="9" t="s">
        <v>95</v>
      </c>
      <c r="E22" s="1">
        <f ca="1">IF(selected_period="Total Year",DATE(selected_year,12,31)-DATE(selected_year-1,12,31),DAY(EOMONTH(DATE(selected_year,selected_period,1),0)))</f>
        <v>31</v>
      </c>
      <c r="K22" s="114"/>
    </row>
    <row r="23" spans="3:14" x14ac:dyDescent="0.3">
      <c r="D23" s="9" t="s">
        <v>96</v>
      </c>
      <c r="E23" s="117" cm="1">
        <f t="array" aca="1" ref="E23" ca="1">IF(selected_year=YEAR(current_date),
  IF(selected_period="Total Year",current_date-DATE(selected_year-1,12,31),
   IF(selected_period=MONTH(current_date),DAY(current_date),
    IF(selected_period&lt;MONTH(current_date),E22,0))),
  IF(selected_year&lt;YEAR(current_date),E22,0))</f>
        <v>4</v>
      </c>
      <c r="F23" s="80"/>
      <c r="K23" s="114"/>
    </row>
    <row r="24" spans="3:14" x14ac:dyDescent="0.3">
      <c r="D24" s="9" t="s">
        <v>97</v>
      </c>
      <c r="E24" s="73">
        <f ca="1">E23/E22</f>
        <v>0.12903225806451613</v>
      </c>
      <c r="K24" s="114"/>
    </row>
    <row r="25" spans="3:14" x14ac:dyDescent="0.3">
      <c r="D25" s="9" t="s">
        <v>98</v>
      </c>
      <c r="E25" s="118">
        <f ca="1">F41-SUM(J41,N41)</f>
        <v>561.54</v>
      </c>
      <c r="K25" s="114"/>
    </row>
    <row r="26" spans="3:14" x14ac:dyDescent="0.3">
      <c r="D26" s="9" t="s">
        <v>38</v>
      </c>
      <c r="E26" s="1" t="str">
        <f ca="1">IF(E25&gt;=0, "of tracked income left to be allocated", "allocated not covered by income")</f>
        <v>of tracked income left to be allocated</v>
      </c>
      <c r="K26" s="114"/>
    </row>
    <row r="27" spans="3:14" x14ac:dyDescent="0.3">
      <c r="D27" s="9" t="s">
        <v>99</v>
      </c>
      <c r="E27" s="73">
        <f ca="1">IFERROR(IF(savings_rate_calculation_type="% allocated to Savings", N41/F41,
  (F41-J41)/F41),"/")</f>
        <v>0</v>
      </c>
      <c r="K27" s="114"/>
    </row>
    <row r="28" spans="3:14" x14ac:dyDescent="0.3">
      <c r="K28" s="114"/>
    </row>
    <row r="29" spans="3:14" x14ac:dyDescent="0.3">
      <c r="K29" s="114"/>
    </row>
    <row r="30" spans="3:14" x14ac:dyDescent="0.3">
      <c r="K30" s="114"/>
    </row>
    <row r="31" spans="3:14" x14ac:dyDescent="0.3">
      <c r="K31" s="114"/>
    </row>
    <row r="32" spans="3:14" x14ac:dyDescent="0.3">
      <c r="D32" s="82" t="s">
        <v>75</v>
      </c>
      <c r="E32" s="81"/>
      <c r="F32" s="81"/>
      <c r="G32" s="81"/>
      <c r="H32" s="81"/>
      <c r="I32" s="81"/>
      <c r="J32" s="110"/>
      <c r="K32" s="115"/>
      <c r="L32" s="81"/>
      <c r="M32" s="81"/>
      <c r="N32" s="81"/>
    </row>
    <row r="33" spans="1:14" x14ac:dyDescent="0.3">
      <c r="K33" s="114"/>
    </row>
    <row r="34" spans="1:14" x14ac:dyDescent="0.3">
      <c r="A34" s="119"/>
      <c r="D34" s="86" t="s">
        <v>5</v>
      </c>
      <c r="E34" s="86" t="s">
        <v>20</v>
      </c>
      <c r="F34" s="86" t="s">
        <v>21</v>
      </c>
      <c r="H34" s="86" t="s">
        <v>9</v>
      </c>
      <c r="I34" s="86" t="s">
        <v>20</v>
      </c>
      <c r="J34" s="111" t="s">
        <v>21</v>
      </c>
      <c r="K34" s="114"/>
      <c r="L34" s="86" t="s">
        <v>14</v>
      </c>
      <c r="M34" s="86" t="s">
        <v>20</v>
      </c>
      <c r="N34" s="86" t="s">
        <v>21</v>
      </c>
    </row>
    <row r="35" spans="1:14" x14ac:dyDescent="0.3">
      <c r="D35" s="83">
        <v>1</v>
      </c>
      <c r="E35" s="83" t="str" cm="1">
        <f t="array" aca="1" ref="E35" ca="1">IF(F35="","",INDEX('Budget Dashboard'!$J:$J,MATCH(income_header_row+Calculations!D35,'Budget Dashboard'!$X:$X,0)))</f>
        <v/>
      </c>
      <c r="F35" s="87" t="str" cm="1">
        <f t="array" aca="1" ref="F35" ca="1">IF(D35&gt;COUNTA(Income[]),"",
  IF(INDEX('Budget Dashboard'!$K:$K,MATCH(income_header_row+Calculations!D35,'Budget Dashboard'!$X:$X,0))=0,"",
   INDEX('Budget Dashboard'!$K:$K,MATCH(income_header_row+Calculations!D35,'Budget Dashboard'!$X:$X,0))))</f>
        <v/>
      </c>
      <c r="H35" s="83">
        <v>1</v>
      </c>
      <c r="I35" s="83" t="str" cm="1">
        <f t="array" aca="1" ref="I35" ca="1">IF(J35="","",INDEX('Budget Dashboard'!$J:$J,MATCH(expenses_header_row+Calculations!H35,'Budget Dashboard'!$X:$X,0)))</f>
        <v>Food</v>
      </c>
      <c r="J35" s="87" cm="1">
        <f t="array" aca="1" ref="J35" ca="1">IF(H35&gt;COUNTA(Expenses[]),"",
  IF(INDEX('Budget Dashboard'!$K:$K,MATCH(expenses_header_row+Calculations!H35,'Budget Dashboard'!$X:$X,0))=0,"",
   INDEX('Budget Dashboard'!$K:$K,MATCH(expenses_header_row+Calculations!H35,'Budget Dashboard'!$X:$X,0))))</f>
        <v>73.97</v>
      </c>
      <c r="K35" s="114"/>
      <c r="L35" s="83">
        <v>1</v>
      </c>
      <c r="M35" s="83" t="str" cm="1">
        <f t="array" aca="1" ref="M35" ca="1">IF(N35="","",INDEX('Budget Dashboard'!$J:$J,MATCH(savings_header_row+Calculations!L35,'Budget Dashboard'!$X:$X,0)))</f>
        <v/>
      </c>
      <c r="N35" s="87" t="str" cm="1">
        <f t="array" aca="1" ref="N35" ca="1">IF(L35&gt;COUNTA(Savings[]),"",
  IF(INDEX('Budget Dashboard'!$K:$K,MATCH(savings_header_row+Calculations!L35,'Budget Dashboard'!$X:$X,0))=0,"",
   INDEX('Budget Dashboard'!$K:$K,MATCH(savings_header_row+Calculations!L35,'Budget Dashboard'!$X:$X,0))))</f>
        <v/>
      </c>
    </row>
    <row r="36" spans="1:14" x14ac:dyDescent="0.3">
      <c r="D36" s="83">
        <v>2</v>
      </c>
      <c r="E36" s="83" t="str" cm="1">
        <f t="array" aca="1" ref="E36" ca="1">IF(F36="","",INDEX('Budget Dashboard'!$J:$J,MATCH(income_header_row+Calculations!D36,'Budget Dashboard'!$X:$X,0)))</f>
        <v/>
      </c>
      <c r="F36" s="87" t="str" cm="1">
        <f t="array" aca="1" ref="F36" ca="1">IF(D36&gt;COUNTA(Income[]),"",
  IF(INDEX('Budget Dashboard'!$K:$K,MATCH(income_header_row+Calculations!D36,'Budget Dashboard'!$X:$X,0))=0,"",
   INDEX('Budget Dashboard'!$K:$K,MATCH(income_header_row+Calculations!D36,'Budget Dashboard'!$X:$X,0))))</f>
        <v/>
      </c>
      <c r="H36" s="83">
        <v>2</v>
      </c>
      <c r="I36" s="83" t="str" cm="1">
        <f t="array" aca="1" ref="I36" ca="1">IF(J36="","",INDEX('Budget Dashboard'!$J:$J,MATCH(expenses_header_row+Calculations!H36,'Budget Dashboard'!$X:$X,0)))</f>
        <v>Media</v>
      </c>
      <c r="J36" s="87" cm="1">
        <f t="array" aca="1" ref="J36" ca="1">IF(H36&gt;COUNTA(Expenses[]),"",
  IF(INDEX('Budget Dashboard'!$K:$K,MATCH(expenses_header_row+Calculations!H36,'Budget Dashboard'!$X:$X,0))=0,"",
   INDEX('Budget Dashboard'!$K:$K,MATCH(expenses_header_row+Calculations!H36,'Budget Dashboard'!$X:$X,0))))</f>
        <v>16.18</v>
      </c>
      <c r="K36" s="114"/>
      <c r="L36" s="83">
        <v>2</v>
      </c>
      <c r="M36" s="83" t="str" cm="1">
        <f t="array" aca="1" ref="M36" ca="1">IF(N36="","",INDEX('Budget Dashboard'!$J:$J,MATCH(savings_header_row+Calculations!L36,'Budget Dashboard'!$X:$X,0)))</f>
        <v/>
      </c>
      <c r="N36" s="87" t="str" cm="1">
        <f t="array" aca="1" ref="N36" ca="1">IF(L36&gt;COUNTA(Savings[]),"",
  IF(INDEX('Budget Dashboard'!$K:$K,MATCH(savings_header_row+Calculations!L36,'Budget Dashboard'!$X:$X,0))=0,"",
   INDEX('Budget Dashboard'!$K:$K,MATCH(savings_header_row+Calculations!L36,'Budget Dashboard'!$X:$X,0))))</f>
        <v/>
      </c>
    </row>
    <row r="37" spans="1:14" x14ac:dyDescent="0.3">
      <c r="D37" s="83">
        <v>3</v>
      </c>
      <c r="E37" s="83" t="str" cm="1">
        <f t="array" aca="1" ref="E37" ca="1">IF(F37="","",INDEX('Budget Dashboard'!$J:$J,MATCH(income_header_row+Calculations!D37,'Budget Dashboard'!$X:$X,0)))</f>
        <v/>
      </c>
      <c r="F37" s="87" t="str" cm="1">
        <f t="array" aca="1" ref="F37" ca="1">IF(D37&gt;COUNTA(Income[]),"",
  IF(INDEX('Budget Dashboard'!$K:$K,MATCH(income_header_row+Calculations!D37,'Budget Dashboard'!$X:$X,0))=0,"",
   INDEX('Budget Dashboard'!$K:$K,MATCH(income_header_row+Calculations!D37,'Budget Dashboard'!$X:$X,0))))</f>
        <v/>
      </c>
      <c r="H37" s="83">
        <v>3</v>
      </c>
      <c r="I37" s="83" t="str" cm="1">
        <f t="array" aca="1" ref="I37" ca="1">IF(J37="","",INDEX('Budget Dashboard'!$J:$J,MATCH(expenses_header_row+Calculations!H37,'Budget Dashboard'!$X:$X,0)))</f>
        <v>Trips/Outings</v>
      </c>
      <c r="J37" s="87" cm="1">
        <f t="array" aca="1" ref="J37" ca="1">IF(H37&gt;COUNTA(Expenses[]),"",
  IF(INDEX('Budget Dashboard'!$K:$K,MATCH(expenses_header_row+Calculations!H37,'Budget Dashboard'!$X:$X,0))=0,"",
   INDEX('Budget Dashboard'!$K:$K,MATCH(expenses_header_row+Calculations!H37,'Budget Dashboard'!$X:$X,0))))</f>
        <v>10</v>
      </c>
      <c r="K37" s="114"/>
      <c r="L37" s="83">
        <v>3</v>
      </c>
      <c r="M37" s="83" t="str" cm="1">
        <f t="array" aca="1" ref="M37" ca="1">IF(N37="","",INDEX('Budget Dashboard'!$J:$J,MATCH(savings_header_row+Calculations!L37,'Budget Dashboard'!$X:$X,0)))</f>
        <v/>
      </c>
      <c r="N37" s="87" t="str" cm="1">
        <f t="array" aca="1" ref="N37" ca="1">IF(L37&gt;COUNTA(Savings[]),"",
  IF(INDEX('Budget Dashboard'!$K:$K,MATCH(savings_header_row+Calculations!L37,'Budget Dashboard'!$X:$X,0))=0,"",
   INDEX('Budget Dashboard'!$K:$K,MATCH(savings_header_row+Calculations!L37,'Budget Dashboard'!$X:$X,0))))</f>
        <v/>
      </c>
    </row>
    <row r="38" spans="1:14" x14ac:dyDescent="0.3">
      <c r="D38" s="83">
        <v>4</v>
      </c>
      <c r="E38" s="83" t="str" cm="1">
        <f t="array" aca="1" ref="E38" ca="1">IF(F38="","",INDEX('Budget Dashboard'!$J:$J,MATCH(income_header_row+Calculations!D38,'Budget Dashboard'!$X:$X,0)))</f>
        <v/>
      </c>
      <c r="F38" s="87" t="str" cm="1">
        <f t="array" aca="1" ref="F38" ca="1">IF(D38&gt;COUNTA(Income[]),"",
  IF(INDEX('Budget Dashboard'!$K:$K,MATCH(income_header_row+Calculations!D38,'Budget Dashboard'!$X:$X,0))=0,"",
   INDEX('Budget Dashboard'!$K:$K,MATCH(income_header_row+Calculations!D38,'Budget Dashboard'!$X:$X,0))))</f>
        <v/>
      </c>
      <c r="H38" s="83">
        <v>4</v>
      </c>
      <c r="I38" s="83" t="str" cm="1">
        <f t="array" aca="1" ref="I38" ca="1">IF(J38="","",INDEX('Budget Dashboard'!$J:$J,MATCH(expenses_header_row+Calculations!H38,'Budget Dashboard'!$X:$X,0)))</f>
        <v/>
      </c>
      <c r="J38" s="87" t="str" cm="1">
        <f t="array" aca="1" ref="J38" ca="1">IF(H38&gt;COUNTA(Expenses[]),"",
  IF(INDEX('Budget Dashboard'!$K:$K,MATCH(expenses_header_row+Calculations!H38,'Budget Dashboard'!$X:$X,0))=0,"",
   INDEX('Budget Dashboard'!$K:$K,MATCH(expenses_header_row+Calculations!H38,'Budget Dashboard'!$X:$X,0))))</f>
        <v/>
      </c>
      <c r="K38" s="114"/>
      <c r="L38" s="83">
        <v>4</v>
      </c>
      <c r="M38" s="83" t="str" cm="1">
        <f t="array" aca="1" ref="M38" ca="1">IF(N38="","",INDEX('Budget Dashboard'!$J:$J,MATCH(savings_header_row+Calculations!L38,'Budget Dashboard'!$X:$X,0)))</f>
        <v/>
      </c>
      <c r="N38" s="87" t="str" cm="1">
        <f t="array" aca="1" ref="N38" ca="1">IF(L38&gt;COUNTA(Savings[]),"",
  IF(INDEX('Budget Dashboard'!$K:$K,MATCH(savings_header_row+Calculations!L38,'Budget Dashboard'!$X:$X,0))=0,"",
   INDEX('Budget Dashboard'!$K:$K,MATCH(savings_header_row+Calculations!L38,'Budget Dashboard'!$X:$X,0))))</f>
        <v/>
      </c>
    </row>
    <row r="39" spans="1:14" x14ac:dyDescent="0.3">
      <c r="D39" s="83">
        <v>5</v>
      </c>
      <c r="E39" s="83" t="str" cm="1">
        <f t="array" aca="1" ref="E39" ca="1">IF(F39="","",INDEX('Budget Dashboard'!$J:$J,MATCH(income_header_row+Calculations!D39,'Budget Dashboard'!$X:$X,0)))</f>
        <v/>
      </c>
      <c r="F39" s="87" t="str" cm="1">
        <f t="array" aca="1" ref="F39" ca="1">IF(D39&gt;COUNTA(Income[]),"",
  IF(INDEX('Budget Dashboard'!$K:$K,MATCH(income_header_row+Calculations!D39,'Budget Dashboard'!$X:$X,0))=0,"",
   INDEX('Budget Dashboard'!$K:$K,MATCH(income_header_row+Calculations!D39,'Budget Dashboard'!$X:$X,0))))</f>
        <v/>
      </c>
      <c r="H39" s="83">
        <v>5</v>
      </c>
      <c r="I39" s="83" t="str" cm="1">
        <f t="array" aca="1" ref="I39" ca="1">IF(J39="","",INDEX('Budget Dashboard'!$J:$J,MATCH(expenses_header_row+Calculations!H39,'Budget Dashboard'!$X:$X,0)))</f>
        <v/>
      </c>
      <c r="J39" s="87" t="str" cm="1">
        <f t="array" aca="1" ref="J39" ca="1">IF(H39&gt;COUNTA(Expenses[]),"",
  IF(INDEX('Budget Dashboard'!$K:$K,MATCH(expenses_header_row+Calculations!H39,'Budget Dashboard'!$X:$X,0))=0,"",
   INDEX('Budget Dashboard'!$K:$K,MATCH(expenses_header_row+Calculations!H39,'Budget Dashboard'!$X:$X,0))))</f>
        <v/>
      </c>
      <c r="K39" s="114"/>
      <c r="L39" s="83">
        <v>5</v>
      </c>
      <c r="M39" s="83" t="str" cm="1">
        <f t="array" ref="M39">IF(N39="","",INDEX('Budget Dashboard'!$J:$J,MATCH(savings_header_row+Calculations!L39,'Budget Dashboard'!$X:$X,0)))</f>
        <v/>
      </c>
      <c r="N39" s="87" t="str" cm="1">
        <f t="array" ref="N39">IF(L39&gt;COUNTA(Savings[]),"",
  IF(INDEX('Budget Dashboard'!$K:$K,MATCH(savings_header_row+Calculations!L39,'Budget Dashboard'!$X:$X,0))=0,"",
   INDEX('Budget Dashboard'!$K:$K,MATCH(savings_header_row+Calculations!L39,'Budget Dashboard'!$X:$X,0))))</f>
        <v/>
      </c>
    </row>
    <row r="40" spans="1:14" ht="15" thickBot="1" x14ac:dyDescent="0.35">
      <c r="D40" s="84">
        <v>6</v>
      </c>
      <c r="E40" s="84" t="str">
        <f ca="1">IF(F40="","","Other")</f>
        <v>Other</v>
      </c>
      <c r="F40" s="88">
        <f ca="1">IF(F41-SUM(F35:F39)=0,"",F41-SUM(F35:F39))</f>
        <v>760.47</v>
      </c>
      <c r="H40" s="84">
        <v>6</v>
      </c>
      <c r="I40" s="84" t="str">
        <f ca="1">IF(J40="","","Other")</f>
        <v>Other</v>
      </c>
      <c r="J40" s="88">
        <f ca="1">IF(J41-SUM(J35:J39)=0,"",J41-SUM(J35:J39))</f>
        <v>98.78</v>
      </c>
      <c r="K40" s="114"/>
      <c r="L40" s="84">
        <v>6</v>
      </c>
      <c r="M40" s="84" t="str">
        <f ca="1">IF(N40="","","Other")</f>
        <v/>
      </c>
      <c r="N40" s="88" t="str">
        <f ca="1">IF(N41-SUM(N35:N39)=0,"",N41-SUM(N35:N39))</f>
        <v/>
      </c>
    </row>
    <row r="41" spans="1:14" ht="15" thickTop="1" x14ac:dyDescent="0.3">
      <c r="D41" s="83"/>
      <c r="E41" s="85" t="s">
        <v>7</v>
      </c>
      <c r="F41" s="89" cm="1">
        <f t="array" aca="1" ref="F41" ca="1">INDEX('Budget Dashboard'!$K:$K,MATCH(income_total_row,'Budget Dashboard'!$X:$X,0))</f>
        <v>760.47</v>
      </c>
      <c r="H41" s="83"/>
      <c r="I41" s="85" t="s">
        <v>7</v>
      </c>
      <c r="J41" s="89" cm="1">
        <f t="array" aca="1" ref="J41" ca="1">INDEX('Budget Dashboard'!$K:$K,MATCH(expenses_total_row,'Budget Dashboard'!$X:$X,0))</f>
        <v>198.93</v>
      </c>
      <c r="K41" s="114"/>
      <c r="L41" s="83"/>
      <c r="M41" s="85" t="s">
        <v>7</v>
      </c>
      <c r="N41" s="89" cm="1">
        <f t="array" aca="1" ref="N41" ca="1">INDEX('Budget Dashboard'!$K:$K,MATCH(savings_total_row,'Budget Dashboard'!$X:$X,0))</f>
        <v>0</v>
      </c>
    </row>
    <row r="42" spans="1:14" x14ac:dyDescent="0.3">
      <c r="K42" s="114"/>
    </row>
    <row r="43" spans="1:14" x14ac:dyDescent="0.3">
      <c r="K43" s="114"/>
    </row>
    <row r="44" spans="1:14" x14ac:dyDescent="0.3">
      <c r="K44" s="114"/>
    </row>
    <row r="45" spans="1:14" x14ac:dyDescent="0.3">
      <c r="K45" s="114"/>
    </row>
    <row r="46" spans="1:14" x14ac:dyDescent="0.3">
      <c r="K46" s="114"/>
    </row>
    <row r="47" spans="1:14" x14ac:dyDescent="0.3">
      <c r="D47" s="82" t="s">
        <v>76</v>
      </c>
      <c r="E47" s="81"/>
      <c r="F47" s="81"/>
      <c r="G47" s="81"/>
      <c r="H47" s="81"/>
      <c r="I47" s="81"/>
      <c r="J47" s="110"/>
      <c r="K47" s="115"/>
      <c r="L47" s="81"/>
      <c r="M47" s="81"/>
      <c r="N47" s="81"/>
    </row>
    <row r="48" spans="1:14" x14ac:dyDescent="0.3">
      <c r="K48" s="114"/>
    </row>
    <row r="49" spans="4:18" x14ac:dyDescent="0.3">
      <c r="D49" s="106" t="s">
        <v>91</v>
      </c>
      <c r="E49" s="107" t="b">
        <v>1</v>
      </c>
      <c r="K49" s="114"/>
    </row>
    <row r="50" spans="4:18" x14ac:dyDescent="0.3">
      <c r="D50" s="106" t="s">
        <v>92</v>
      </c>
      <c r="E50" s="107" t="b">
        <v>1</v>
      </c>
      <c r="K50" s="114"/>
      <c r="M50" s="1" t="s">
        <v>90</v>
      </c>
    </row>
    <row r="51" spans="4:18" x14ac:dyDescent="0.3">
      <c r="D51" s="106" t="s">
        <v>93</v>
      </c>
      <c r="E51" s="107" t="b">
        <v>1</v>
      </c>
      <c r="K51" s="114"/>
    </row>
    <row r="52" spans="4:18" x14ac:dyDescent="0.3">
      <c r="D52" s="106" t="s">
        <v>94</v>
      </c>
      <c r="E52" s="107" t="b">
        <v>1</v>
      </c>
      <c r="K52" s="114"/>
    </row>
    <row r="53" spans="4:18" x14ac:dyDescent="0.3">
      <c r="K53" s="114"/>
      <c r="M53" s="196" t="s">
        <v>85</v>
      </c>
      <c r="N53" s="196"/>
      <c r="O53" s="196"/>
      <c r="P53" s="197" t="s">
        <v>89</v>
      </c>
      <c r="Q53" s="197"/>
      <c r="R53" s="197"/>
    </row>
    <row r="54" spans="4:18" s="99" customFormat="1" x14ac:dyDescent="0.3">
      <c r="D54" s="100" t="s">
        <v>77</v>
      </c>
      <c r="E54" s="100" t="s">
        <v>19</v>
      </c>
      <c r="F54" s="100" t="s">
        <v>78</v>
      </c>
      <c r="G54" s="100" t="s">
        <v>79</v>
      </c>
      <c r="H54" s="100" t="s">
        <v>80</v>
      </c>
      <c r="I54" s="100" t="s">
        <v>81</v>
      </c>
      <c r="J54" s="112" t="s">
        <v>82</v>
      </c>
      <c r="K54" s="112" t="s">
        <v>83</v>
      </c>
      <c r="L54" s="100" t="s">
        <v>84</v>
      </c>
      <c r="M54" s="100" t="s">
        <v>86</v>
      </c>
      <c r="N54" s="100" t="s">
        <v>87</v>
      </c>
      <c r="O54" s="100" t="s">
        <v>88</v>
      </c>
      <c r="P54" s="100" t="s">
        <v>86</v>
      </c>
      <c r="Q54" s="100" t="s">
        <v>87</v>
      </c>
      <c r="R54" s="100" t="s">
        <v>88</v>
      </c>
    </row>
    <row r="55" spans="4:18" x14ac:dyDescent="0.3">
      <c r="D55" s="193">
        <f ca="1">DATE(selected_year,1,1)</f>
        <v>46023</v>
      </c>
      <c r="E55" s="83" t="s">
        <v>5</v>
      </c>
      <c r="F55" s="83">
        <f ca="1">MONTH(D55)</f>
        <v>1</v>
      </c>
      <c r="G55" s="83">
        <f ca="1">IF(selected_period="Total Year", 1, IF(selected_period=cc_month_number,1,0))</f>
        <v>0</v>
      </c>
      <c r="H55" s="83">
        <f>1*$E$49</f>
        <v>1</v>
      </c>
      <c r="I55" s="83">
        <f>1*$E$52</f>
        <v>1</v>
      </c>
      <c r="J55" s="103" cm="1">
        <f t="array" aca="1" ref="J55" ca="1">SUM( Tracking[Amount] * (Tracking[Type]=cc_type) * (YEAR(Tracking[Effective Date])=selected_year) * (MONTH(Tracking[Effective Date])=cc_month_number) )</f>
        <v>2712.76</v>
      </c>
      <c r="K55" s="103" cm="1">
        <f t="array" aca="1" ref="K55" ca="1">INDEX('Budget Planning'!$E:$CI,income_total_row, MATCH(DATE(selected_year,cc_month_number,1),'Budget Planning'!$E$9:$CI$9,0))</f>
        <v>1612</v>
      </c>
      <c r="L55" s="103">
        <f ca="1">cc_budget-cc_tracked</f>
        <v>-1100.7600000000002</v>
      </c>
      <c r="M55" s="103">
        <f ca="1">cc_in_focus* cc_show_type* MIN(cc_tracked,cc_budget)</f>
        <v>0</v>
      </c>
      <c r="N55" s="103">
        <f ca="1">cc_in_focus* cc_show_type* cc_show_rem_budget* IF(cc_delta&gt;0,cc_delta,0)</f>
        <v>0</v>
      </c>
      <c r="O55" s="103">
        <f ca="1">cc_in_focus* cc_show_type* IF(cc_delta&lt;0,ABS(cc_delta),0)</f>
        <v>0</v>
      </c>
      <c r="P55" s="103">
        <f ca="1">NOT(cc_in_focus)* cc_show_type* MIN(cc_tracked,cc_budget)</f>
        <v>1612</v>
      </c>
      <c r="Q55" s="103">
        <f ca="1">NOT(cc_in_focus)* cc_show_type* cc_show_rem_budget* IF(cc_delta&gt;0,cc_delta,0)</f>
        <v>0</v>
      </c>
      <c r="R55" s="103">
        <f ca="1">NOT(cc_in_focus)* cc_show_type* IF(cc_delta&lt;0,ABS(cc_delta),0)</f>
        <v>1100.7600000000002</v>
      </c>
    </row>
    <row r="56" spans="4:18" x14ac:dyDescent="0.3">
      <c r="D56" s="193"/>
      <c r="E56" s="83" t="s">
        <v>9</v>
      </c>
      <c r="F56" s="83">
        <f ca="1">MONTH(D55)</f>
        <v>1</v>
      </c>
      <c r="G56" s="83">
        <f ca="1">IF(selected_period="Total Year", 1, IF(selected_period=cc_month_number,1,0))</f>
        <v>0</v>
      </c>
      <c r="H56" s="83">
        <f>1*$E$50</f>
        <v>1</v>
      </c>
      <c r="I56" s="83">
        <f t="shared" ref="I56:I57" si="0">1*$E$52</f>
        <v>1</v>
      </c>
      <c r="J56" s="103" cm="1">
        <f t="array" aca="1" ref="J56" ca="1">SUM( Tracking[Amount] * (Tracking[Type]=cc_type) * (YEAR(Tracking[Effective Date])=selected_year) * (MONTH(Tracking[Effective Date])=cc_month_number) )</f>
        <v>1230.6199999999997</v>
      </c>
      <c r="K56" s="103" cm="1">
        <f t="array" aca="1" ref="K56" ca="1">INDEX('Budget Planning'!$E:$CI,expenses_total_row, MATCH(DATE(selected_year,cc_month_number,1),'Budget Planning'!$E$9:$CI$9,0))</f>
        <v>1065</v>
      </c>
      <c r="L56" s="103">
        <f ca="1">cc_budget-cc_tracked</f>
        <v>-165.61999999999966</v>
      </c>
      <c r="M56" s="103">
        <f ca="1">cc_in_focus* cc_show_type* MIN(cc_tracked,cc_budget)</f>
        <v>0</v>
      </c>
      <c r="N56" s="103">
        <f ca="1">cc_in_focus* cc_show_type* cc_show_rem_budget* IF(cc_delta&gt;0,cc_delta,0)</f>
        <v>0</v>
      </c>
      <c r="O56" s="103">
        <f ca="1">cc_in_focus* cc_show_type* IF(cc_delta&lt;0,ABS(cc_delta),0)</f>
        <v>0</v>
      </c>
      <c r="P56" s="103">
        <f ca="1">NOT(cc_in_focus)* cc_show_type* MIN(cc_tracked,cc_budget)</f>
        <v>1065</v>
      </c>
      <c r="Q56" s="103">
        <f ca="1">NOT(cc_in_focus)* cc_show_type* cc_show_rem_budget* IF(cc_delta&gt;0,cc_delta,0)</f>
        <v>0</v>
      </c>
      <c r="R56" s="103">
        <f ca="1">NOT(cc_in_focus)* cc_show_type* IF(cc_delta&lt;0,ABS(cc_delta),0)</f>
        <v>165.61999999999966</v>
      </c>
    </row>
    <row r="57" spans="4:18" x14ac:dyDescent="0.3">
      <c r="D57" s="193"/>
      <c r="E57" s="83" t="s">
        <v>14</v>
      </c>
      <c r="F57" s="83">
        <f ca="1">MONTH(D55)</f>
        <v>1</v>
      </c>
      <c r="G57" s="83">
        <f ca="1">IF(selected_period="Total Year", 1, IF(selected_period=cc_month_number,1,0))</f>
        <v>0</v>
      </c>
      <c r="H57" s="83">
        <f>1*$E$51</f>
        <v>1</v>
      </c>
      <c r="I57" s="83">
        <f t="shared" si="0"/>
        <v>1</v>
      </c>
      <c r="J57" s="103" cm="1">
        <f t="array" aca="1" ref="J57" ca="1">SUM( Tracking[Amount] * (Tracking[Type]=cc_type) * (YEAR(Tracking[Effective Date])=selected_year) * (MONTH(Tracking[Effective Date])=cc_month_number) )</f>
        <v>0</v>
      </c>
      <c r="K57" s="103" cm="1">
        <f t="array" aca="1" ref="K57" ca="1">INDEX('Budget Planning'!$E:$CI,savings_total_row, MATCH(DATE(selected_year,cc_month_number,1),'Budget Planning'!$E$9:$CI$9,0))</f>
        <v>697</v>
      </c>
      <c r="L57" s="103">
        <f ca="1">cc_budget-cc_tracked</f>
        <v>697</v>
      </c>
      <c r="M57" s="103">
        <f ca="1">cc_in_focus* cc_show_type* MIN(cc_tracked,cc_budget)</f>
        <v>0</v>
      </c>
      <c r="N57" s="103">
        <f ca="1">cc_in_focus* cc_show_type* cc_show_rem_budget* IF(cc_delta&gt;0,cc_delta,0)</f>
        <v>0</v>
      </c>
      <c r="O57" s="103">
        <f ca="1">cc_in_focus* cc_show_type* IF(cc_delta&lt;0,ABS(cc_delta),0)</f>
        <v>0</v>
      </c>
      <c r="P57" s="103">
        <f ca="1">NOT(cc_in_focus)* cc_show_type* MIN(cc_tracked,cc_budget)</f>
        <v>0</v>
      </c>
      <c r="Q57" s="103">
        <f ca="1">NOT(cc_in_focus)* cc_show_type* cc_show_rem_budget* IF(cc_delta&gt;0,cc_delta,0)</f>
        <v>697</v>
      </c>
      <c r="R57" s="103">
        <f ca="1">NOT(cc_in_focus)* cc_show_type* IF(cc_delta&lt;0,ABS(cc_delta),0)</f>
        <v>0</v>
      </c>
    </row>
    <row r="58" spans="4:18" x14ac:dyDescent="0.3">
      <c r="D58" s="194"/>
      <c r="E58" s="102"/>
      <c r="F58" s="102"/>
      <c r="G58" s="102"/>
      <c r="H58" s="102"/>
      <c r="I58" s="102"/>
      <c r="J58" s="104"/>
      <c r="K58" s="104"/>
      <c r="L58" s="104"/>
      <c r="M58" s="104"/>
      <c r="N58" s="104"/>
      <c r="O58" s="104"/>
      <c r="P58" s="104"/>
      <c r="Q58" s="104"/>
      <c r="R58" s="104"/>
    </row>
    <row r="59" spans="4:18" x14ac:dyDescent="0.3">
      <c r="D59" s="192">
        <f ca="1">DATE(selected_year,2,1)</f>
        <v>46054</v>
      </c>
      <c r="E59" s="101" t="s">
        <v>5</v>
      </c>
      <c r="F59" s="83">
        <f t="shared" ref="F59" ca="1" si="1">MONTH(D59)</f>
        <v>2</v>
      </c>
      <c r="G59" s="83">
        <f ca="1">IF(selected_period="Total Year", 1, IF(selected_period=cc_month_number,1,0))</f>
        <v>0</v>
      </c>
      <c r="H59" s="83">
        <f t="shared" ref="H59" si="2">1*$E$49</f>
        <v>1</v>
      </c>
      <c r="I59" s="83">
        <f t="shared" ref="I59:I101" si="3">1*$E$52</f>
        <v>1</v>
      </c>
      <c r="J59" s="103" cm="1">
        <f t="array" aca="1" ref="J59" ca="1">SUM( Tracking[Amount] * (Tracking[Type]=cc_type) * (YEAR(Tracking[Effective Date])=selected_year) * (MONTH(Tracking[Effective Date])=cc_month_number) )</f>
        <v>2130.1800000000003</v>
      </c>
      <c r="K59" s="103" cm="1">
        <f t="array" aca="1" ref="K59" ca="1">INDEX('Budget Planning'!$E:$CI,income_total_row, MATCH(DATE(selected_year,cc_month_number,1),'Budget Planning'!$E$9:$CI$9,0))</f>
        <v>1612</v>
      </c>
      <c r="L59" s="103">
        <f ca="1">cc_budget-cc_tracked</f>
        <v>-518.18000000000029</v>
      </c>
      <c r="M59" s="103">
        <f ca="1">cc_in_focus* cc_show_type* MIN(cc_tracked,cc_budget)</f>
        <v>0</v>
      </c>
      <c r="N59" s="103">
        <f ca="1">cc_in_focus* cc_show_type* cc_show_rem_budget* IF(cc_delta&gt;0,cc_delta,0)</f>
        <v>0</v>
      </c>
      <c r="O59" s="103">
        <f ca="1">cc_in_focus* cc_show_type* IF(cc_delta&lt;0,ABS(cc_delta),0)</f>
        <v>0</v>
      </c>
      <c r="P59" s="103">
        <f ca="1">NOT(cc_in_focus)* cc_show_type* MIN(cc_tracked,cc_budget)</f>
        <v>1612</v>
      </c>
      <c r="Q59" s="103">
        <f ca="1">NOT(cc_in_focus)* cc_show_type* cc_show_rem_budget* IF(cc_delta&gt;0,cc_delta,0)</f>
        <v>0</v>
      </c>
      <c r="R59" s="103">
        <f ca="1">NOT(cc_in_focus)* cc_show_type* IF(cc_delta&lt;0,ABS(cc_delta),0)</f>
        <v>518.18000000000029</v>
      </c>
    </row>
    <row r="60" spans="4:18" x14ac:dyDescent="0.3">
      <c r="D60" s="193"/>
      <c r="E60" s="83" t="s">
        <v>9</v>
      </c>
      <c r="F60" s="83">
        <f t="shared" ref="F60" ca="1" si="4">MONTH(D59)</f>
        <v>2</v>
      </c>
      <c r="G60" s="83">
        <f ca="1">IF(selected_period="Total Year", 1, IF(selected_period=cc_month_number,1,0))</f>
        <v>0</v>
      </c>
      <c r="H60" s="83">
        <f t="shared" ref="H60" si="5">1*$E$50</f>
        <v>1</v>
      </c>
      <c r="I60" s="83">
        <f t="shared" si="3"/>
        <v>1</v>
      </c>
      <c r="J60" s="103" cm="1">
        <f t="array" aca="1" ref="J60" ca="1">SUM( Tracking[Amount] * (Tracking[Type]=cc_type) * (YEAR(Tracking[Effective Date])=selected_year) * (MONTH(Tracking[Effective Date])=cc_month_number) )</f>
        <v>4584.2699999999977</v>
      </c>
      <c r="K60" s="103" cm="1">
        <f t="array" aca="1" ref="K60" ca="1">INDEX('Budget Planning'!$E:$CI,expenses_total_row, MATCH(DATE(selected_year,cc_month_number,1),'Budget Planning'!$E$9:$CI$9,0))</f>
        <v>4565</v>
      </c>
      <c r="L60" s="103">
        <f ca="1">cc_budget-cc_tracked</f>
        <v>-19.269999999997708</v>
      </c>
      <c r="M60" s="103">
        <f ca="1">cc_in_focus* cc_show_type* MIN(cc_tracked,cc_budget)</f>
        <v>0</v>
      </c>
      <c r="N60" s="103">
        <f ca="1">cc_in_focus* cc_show_type* cc_show_rem_budget* IF(cc_delta&gt;0,cc_delta,0)</f>
        <v>0</v>
      </c>
      <c r="O60" s="103">
        <f ca="1">cc_in_focus* cc_show_type* IF(cc_delta&lt;0,ABS(cc_delta),0)</f>
        <v>0</v>
      </c>
      <c r="P60" s="103">
        <f ca="1">NOT(cc_in_focus)* cc_show_type* MIN(cc_tracked,cc_budget)</f>
        <v>4565</v>
      </c>
      <c r="Q60" s="103">
        <f ca="1">NOT(cc_in_focus)* cc_show_type* cc_show_rem_budget* IF(cc_delta&gt;0,cc_delta,0)</f>
        <v>0</v>
      </c>
      <c r="R60" s="103">
        <f ca="1">NOT(cc_in_focus)* cc_show_type* IF(cc_delta&lt;0,ABS(cc_delta),0)</f>
        <v>19.269999999997708</v>
      </c>
    </row>
    <row r="61" spans="4:18" x14ac:dyDescent="0.3">
      <c r="D61" s="193"/>
      <c r="E61" s="83" t="s">
        <v>14</v>
      </c>
      <c r="F61" s="83">
        <f t="shared" ref="F61" ca="1" si="6">MONTH(D59)</f>
        <v>2</v>
      </c>
      <c r="G61" s="83">
        <f ca="1">IF(selected_period="Total Year", 1, IF(selected_period=cc_month_number,1,0))</f>
        <v>0</v>
      </c>
      <c r="H61" s="83">
        <f t="shared" ref="H61" si="7">1*$E$51</f>
        <v>1</v>
      </c>
      <c r="I61" s="83">
        <f t="shared" si="3"/>
        <v>1</v>
      </c>
      <c r="J61" s="103" cm="1">
        <f t="array" aca="1" ref="J61" ca="1">SUM( Tracking[Amount] * (Tracking[Type]=cc_type) * (YEAR(Tracking[Effective Date])=selected_year) * (MONTH(Tracking[Effective Date])=cc_month_number) )</f>
        <v>1055.03</v>
      </c>
      <c r="K61" s="103" cm="1">
        <f t="array" aca="1" ref="K61" ca="1">INDEX('Budget Planning'!$E:$CI,savings_total_row, MATCH(DATE(selected_year,cc_month_number,1),'Budget Planning'!$E$9:$CI$9,0))</f>
        <v>696.5</v>
      </c>
      <c r="L61" s="103">
        <f ca="1">cc_budget-cc_tracked</f>
        <v>-358.53</v>
      </c>
      <c r="M61" s="103">
        <f ca="1">cc_in_focus* cc_show_type* MIN(cc_tracked,cc_budget)</f>
        <v>0</v>
      </c>
      <c r="N61" s="103">
        <f ca="1">cc_in_focus* cc_show_type* cc_show_rem_budget* IF(cc_delta&gt;0,cc_delta,0)</f>
        <v>0</v>
      </c>
      <c r="O61" s="103">
        <f ca="1">cc_in_focus* cc_show_type* IF(cc_delta&lt;0,ABS(cc_delta),0)</f>
        <v>0</v>
      </c>
      <c r="P61" s="103">
        <f ca="1">NOT(cc_in_focus)* cc_show_type* MIN(cc_tracked,cc_budget)</f>
        <v>696.5</v>
      </c>
      <c r="Q61" s="103">
        <f ca="1">NOT(cc_in_focus)* cc_show_type* cc_show_rem_budget* IF(cc_delta&gt;0,cc_delta,0)</f>
        <v>0</v>
      </c>
      <c r="R61" s="103">
        <f ca="1">NOT(cc_in_focus)* cc_show_type* IF(cc_delta&lt;0,ABS(cc_delta),0)</f>
        <v>358.53</v>
      </c>
    </row>
    <row r="62" spans="4:18" x14ac:dyDescent="0.3">
      <c r="D62" s="194"/>
      <c r="E62" s="102"/>
      <c r="F62" s="102"/>
      <c r="G62" s="102"/>
      <c r="H62" s="102"/>
      <c r="I62" s="102"/>
      <c r="J62" s="104"/>
      <c r="K62" s="104"/>
      <c r="L62" s="104"/>
      <c r="M62" s="104"/>
      <c r="N62" s="104"/>
      <c r="O62" s="104"/>
      <c r="P62" s="104"/>
      <c r="Q62" s="104"/>
      <c r="R62" s="104"/>
    </row>
    <row r="63" spans="4:18" x14ac:dyDescent="0.3">
      <c r="D63" s="192">
        <f ca="1">DATE(selected_year,3,1)</f>
        <v>46082</v>
      </c>
      <c r="E63" s="101" t="s">
        <v>5</v>
      </c>
      <c r="F63" s="83">
        <f t="shared" ref="F63" ca="1" si="8">MONTH(D63)</f>
        <v>3</v>
      </c>
      <c r="G63" s="83">
        <f ca="1">IF(selected_period="Total Year", 1, IF(selected_period=cc_month_number,1,0))</f>
        <v>0</v>
      </c>
      <c r="H63" s="83">
        <f t="shared" ref="H63" si="9">1*$E$49</f>
        <v>1</v>
      </c>
      <c r="I63" s="83">
        <f t="shared" ref="I63" si="10">1*$E$52</f>
        <v>1</v>
      </c>
      <c r="J63" s="103" cm="1">
        <f t="array" aca="1" ref="J63" ca="1">SUM( Tracking[Amount] * (Tracking[Type]=cc_type) * (YEAR(Tracking[Effective Date])=selected_year) * (MONTH(Tracking[Effective Date])=cc_month_number) )</f>
        <v>2387.2600000000002</v>
      </c>
      <c r="K63" s="103" cm="1">
        <f t="array" aca="1" ref="K63" ca="1">INDEX('Budget Planning'!$E:$CI,income_total_row, MATCH(DATE(selected_year,cc_month_number,1),'Budget Planning'!$E$9:$CI$9,0))</f>
        <v>1612</v>
      </c>
      <c r="L63" s="103">
        <f ca="1">cc_budget-cc_tracked</f>
        <v>-775.26000000000022</v>
      </c>
      <c r="M63" s="103">
        <f ca="1">cc_in_focus* cc_show_type* MIN(cc_tracked,cc_budget)</f>
        <v>0</v>
      </c>
      <c r="N63" s="103">
        <f ca="1">cc_in_focus* cc_show_type* cc_show_rem_budget* IF(cc_delta&gt;0,cc_delta,0)</f>
        <v>0</v>
      </c>
      <c r="O63" s="103">
        <f ca="1">cc_in_focus* cc_show_type* IF(cc_delta&lt;0,ABS(cc_delta),0)</f>
        <v>0</v>
      </c>
      <c r="P63" s="103">
        <f ca="1">NOT(cc_in_focus)* cc_show_type* MIN(cc_tracked,cc_budget)</f>
        <v>1612</v>
      </c>
      <c r="Q63" s="103">
        <f ca="1">NOT(cc_in_focus)* cc_show_type* cc_show_rem_budget* IF(cc_delta&gt;0,cc_delta,0)</f>
        <v>0</v>
      </c>
      <c r="R63" s="103">
        <f ca="1">NOT(cc_in_focus)* cc_show_type* IF(cc_delta&lt;0,ABS(cc_delta),0)</f>
        <v>775.26000000000022</v>
      </c>
    </row>
    <row r="64" spans="4:18" x14ac:dyDescent="0.3">
      <c r="D64" s="193"/>
      <c r="E64" s="83" t="s">
        <v>9</v>
      </c>
      <c r="F64" s="83">
        <f t="shared" ref="F64" ca="1" si="11">MONTH(D63)</f>
        <v>3</v>
      </c>
      <c r="G64" s="83">
        <f ca="1">IF(selected_period="Total Year", 1, IF(selected_period=cc_month_number,1,0))</f>
        <v>0</v>
      </c>
      <c r="H64" s="83">
        <f t="shared" ref="H64" si="12">1*$E$50</f>
        <v>1</v>
      </c>
      <c r="I64" s="83">
        <f t="shared" si="3"/>
        <v>1</v>
      </c>
      <c r="J64" s="103" cm="1">
        <f t="array" aca="1" ref="J64" ca="1">SUM( Tracking[Amount] * (Tracking[Type]=cc_type) * (YEAR(Tracking[Effective Date])=selected_year) * (MONTH(Tracking[Effective Date])=cc_month_number) )</f>
        <v>1276.3999999999994</v>
      </c>
      <c r="K64" s="103" cm="1">
        <f t="array" aca="1" ref="K64" ca="1">INDEX('Budget Planning'!$E:$CI,expenses_total_row, MATCH(DATE(selected_year,cc_month_number,1),'Budget Planning'!$E$9:$CI$9,0))</f>
        <v>1065</v>
      </c>
      <c r="L64" s="103">
        <f ca="1">cc_budget-cc_tracked</f>
        <v>-211.39999999999941</v>
      </c>
      <c r="M64" s="103">
        <f ca="1">cc_in_focus* cc_show_type* MIN(cc_tracked,cc_budget)</f>
        <v>0</v>
      </c>
      <c r="N64" s="103">
        <f ca="1">cc_in_focus* cc_show_type* cc_show_rem_budget* IF(cc_delta&gt;0,cc_delta,0)</f>
        <v>0</v>
      </c>
      <c r="O64" s="103">
        <f ca="1">cc_in_focus* cc_show_type* IF(cc_delta&lt;0,ABS(cc_delta),0)</f>
        <v>0</v>
      </c>
      <c r="P64" s="103">
        <f ca="1">NOT(cc_in_focus)* cc_show_type* MIN(cc_tracked,cc_budget)</f>
        <v>1065</v>
      </c>
      <c r="Q64" s="103">
        <f ca="1">NOT(cc_in_focus)* cc_show_type* cc_show_rem_budget* IF(cc_delta&gt;0,cc_delta,0)</f>
        <v>0</v>
      </c>
      <c r="R64" s="103">
        <f ca="1">NOT(cc_in_focus)* cc_show_type* IF(cc_delta&lt;0,ABS(cc_delta),0)</f>
        <v>211.39999999999941</v>
      </c>
    </row>
    <row r="65" spans="4:18" x14ac:dyDescent="0.3">
      <c r="D65" s="193"/>
      <c r="E65" s="83" t="s">
        <v>14</v>
      </c>
      <c r="F65" s="83">
        <f t="shared" ref="F65" ca="1" si="13">MONTH(D63)</f>
        <v>3</v>
      </c>
      <c r="G65" s="83">
        <f ca="1">IF(selected_period="Total Year", 1, IF(selected_period=cc_month_number,1,0))</f>
        <v>0</v>
      </c>
      <c r="H65" s="83">
        <f t="shared" ref="H65" si="14">1*$E$51</f>
        <v>1</v>
      </c>
      <c r="I65" s="83">
        <f t="shared" si="3"/>
        <v>1</v>
      </c>
      <c r="J65" s="103" cm="1">
        <f t="array" aca="1" ref="J65" ca="1">SUM( Tracking[Amount] * (Tracking[Type]=cc_type) * (YEAR(Tracking[Effective Date])=selected_year) * (MONTH(Tracking[Effective Date])=cc_month_number) )</f>
        <v>1252.1499999999999</v>
      </c>
      <c r="K65" s="103" cm="1">
        <f t="array" aca="1" ref="K65" ca="1">INDEX('Budget Planning'!$E:$CI,savings_total_row, MATCH(DATE(selected_year,cc_month_number,1),'Budget Planning'!$E$9:$CI$9,0))</f>
        <v>696.5</v>
      </c>
      <c r="L65" s="103">
        <f ca="1">cc_budget-cc_tracked</f>
        <v>-555.64999999999986</v>
      </c>
      <c r="M65" s="103">
        <f ca="1">cc_in_focus* cc_show_type* MIN(cc_tracked,cc_budget)</f>
        <v>0</v>
      </c>
      <c r="N65" s="103">
        <f ca="1">cc_in_focus* cc_show_type* cc_show_rem_budget* IF(cc_delta&gt;0,cc_delta,0)</f>
        <v>0</v>
      </c>
      <c r="O65" s="103">
        <f ca="1">cc_in_focus* cc_show_type* IF(cc_delta&lt;0,ABS(cc_delta),0)</f>
        <v>0</v>
      </c>
      <c r="P65" s="103">
        <f ca="1">NOT(cc_in_focus)* cc_show_type* MIN(cc_tracked,cc_budget)</f>
        <v>696.5</v>
      </c>
      <c r="Q65" s="103">
        <f ca="1">NOT(cc_in_focus)* cc_show_type* cc_show_rem_budget* IF(cc_delta&gt;0,cc_delta,0)</f>
        <v>0</v>
      </c>
      <c r="R65" s="103">
        <f ca="1">NOT(cc_in_focus)* cc_show_type* IF(cc_delta&lt;0,ABS(cc_delta),0)</f>
        <v>555.64999999999986</v>
      </c>
    </row>
    <row r="66" spans="4:18" x14ac:dyDescent="0.3">
      <c r="D66" s="194"/>
      <c r="E66" s="102"/>
      <c r="F66" s="102"/>
      <c r="G66" s="102"/>
      <c r="H66" s="102"/>
      <c r="I66" s="102"/>
      <c r="J66" s="104"/>
      <c r="K66" s="104"/>
      <c r="L66" s="104"/>
      <c r="M66" s="104"/>
      <c r="N66" s="104"/>
      <c r="O66" s="104"/>
      <c r="P66" s="104"/>
      <c r="Q66" s="104"/>
      <c r="R66" s="104"/>
    </row>
    <row r="67" spans="4:18" x14ac:dyDescent="0.3">
      <c r="D67" s="192">
        <f ca="1">DATE(selected_year,4,1)</f>
        <v>46113</v>
      </c>
      <c r="E67" s="101" t="s">
        <v>5</v>
      </c>
      <c r="F67" s="83">
        <f t="shared" ref="F67" ca="1" si="15">MONTH(D67)</f>
        <v>4</v>
      </c>
      <c r="G67" s="83">
        <f ca="1">IF(selected_period="Total Year", 1, IF(selected_period=cc_month_number,1,0))</f>
        <v>0</v>
      </c>
      <c r="H67" s="83">
        <f t="shared" ref="H67" si="16">1*$E$49</f>
        <v>1</v>
      </c>
      <c r="I67" s="83">
        <f t="shared" ref="I67" si="17">1*$E$52</f>
        <v>1</v>
      </c>
      <c r="J67" s="103" cm="1">
        <f t="array" aca="1" ref="J67" ca="1">SUM( Tracking[Amount] * (Tracking[Type]=cc_type) * (YEAR(Tracking[Effective Date])=selected_year) * (MONTH(Tracking[Effective Date])=cc_month_number) )</f>
        <v>1849.5900000000001</v>
      </c>
      <c r="K67" s="103" cm="1">
        <f t="array" aca="1" ref="K67" ca="1">INDEX('Budget Planning'!$E:$CI,income_total_row, MATCH(DATE(selected_year,cc_month_number,1),'Budget Planning'!$E$9:$CI$9,0))</f>
        <v>1612</v>
      </c>
      <c r="L67" s="103">
        <f ca="1">cc_budget-cc_tracked</f>
        <v>-237.59000000000015</v>
      </c>
      <c r="M67" s="103">
        <f ca="1">cc_in_focus* cc_show_type* MIN(cc_tracked,cc_budget)</f>
        <v>0</v>
      </c>
      <c r="N67" s="103">
        <f ca="1">cc_in_focus* cc_show_type* cc_show_rem_budget* IF(cc_delta&gt;0,cc_delta,0)</f>
        <v>0</v>
      </c>
      <c r="O67" s="103">
        <f ca="1">cc_in_focus* cc_show_type* IF(cc_delta&lt;0,ABS(cc_delta),0)</f>
        <v>0</v>
      </c>
      <c r="P67" s="103">
        <f ca="1">NOT(cc_in_focus)* cc_show_type* MIN(cc_tracked,cc_budget)</f>
        <v>1612</v>
      </c>
      <c r="Q67" s="103">
        <f ca="1">NOT(cc_in_focus)* cc_show_type* cc_show_rem_budget* IF(cc_delta&gt;0,cc_delta,0)</f>
        <v>0</v>
      </c>
      <c r="R67" s="103">
        <f ca="1">NOT(cc_in_focus)* cc_show_type* IF(cc_delta&lt;0,ABS(cc_delta),0)</f>
        <v>237.59000000000015</v>
      </c>
    </row>
    <row r="68" spans="4:18" x14ac:dyDescent="0.3">
      <c r="D68" s="193"/>
      <c r="E68" s="83" t="s">
        <v>9</v>
      </c>
      <c r="F68" s="83">
        <f t="shared" ref="F68" ca="1" si="18">MONTH(D67)</f>
        <v>4</v>
      </c>
      <c r="G68" s="83">
        <f ca="1">IF(selected_period="Total Year", 1, IF(selected_period=cc_month_number,1,0))</f>
        <v>0</v>
      </c>
      <c r="H68" s="83">
        <f t="shared" ref="H68" si="19">1*$E$50</f>
        <v>1</v>
      </c>
      <c r="I68" s="83">
        <f t="shared" si="3"/>
        <v>1</v>
      </c>
      <c r="J68" s="103" cm="1">
        <f t="array" aca="1" ref="J68" ca="1">SUM( Tracking[Amount] * (Tracking[Type]=cc_type) * (YEAR(Tracking[Effective Date])=selected_year) * (MONTH(Tracking[Effective Date])=cc_month_number) )</f>
        <v>1284.7300000000002</v>
      </c>
      <c r="K68" s="103" cm="1">
        <f t="array" aca="1" ref="K68" ca="1">INDEX('Budget Planning'!$E:$CI,expenses_total_row, MATCH(DATE(selected_year,cc_month_number,1),'Budget Planning'!$E$9:$CI$9,0))</f>
        <v>1065</v>
      </c>
      <c r="L68" s="103">
        <f ca="1">cc_budget-cc_tracked</f>
        <v>-219.73000000000025</v>
      </c>
      <c r="M68" s="103">
        <f ca="1">cc_in_focus* cc_show_type* MIN(cc_tracked,cc_budget)</f>
        <v>0</v>
      </c>
      <c r="N68" s="103">
        <f ca="1">cc_in_focus* cc_show_type* cc_show_rem_budget* IF(cc_delta&gt;0,cc_delta,0)</f>
        <v>0</v>
      </c>
      <c r="O68" s="103">
        <f ca="1">cc_in_focus* cc_show_type* IF(cc_delta&lt;0,ABS(cc_delta),0)</f>
        <v>0</v>
      </c>
      <c r="P68" s="103">
        <f ca="1">NOT(cc_in_focus)* cc_show_type* MIN(cc_tracked,cc_budget)</f>
        <v>1065</v>
      </c>
      <c r="Q68" s="103">
        <f ca="1">NOT(cc_in_focus)* cc_show_type* cc_show_rem_budget* IF(cc_delta&gt;0,cc_delta,0)</f>
        <v>0</v>
      </c>
      <c r="R68" s="103">
        <f ca="1">NOT(cc_in_focus)* cc_show_type* IF(cc_delta&lt;0,ABS(cc_delta),0)</f>
        <v>219.73000000000025</v>
      </c>
    </row>
    <row r="69" spans="4:18" x14ac:dyDescent="0.3">
      <c r="D69" s="193"/>
      <c r="E69" s="83" t="s">
        <v>14</v>
      </c>
      <c r="F69" s="83">
        <f t="shared" ref="F69" ca="1" si="20">MONTH(D67)</f>
        <v>4</v>
      </c>
      <c r="G69" s="83">
        <f ca="1">IF(selected_period="Total Year", 1, IF(selected_period=cc_month_number,1,0))</f>
        <v>0</v>
      </c>
      <c r="H69" s="83">
        <f t="shared" ref="H69" si="21">1*$E$51</f>
        <v>1</v>
      </c>
      <c r="I69" s="83">
        <f t="shared" si="3"/>
        <v>1</v>
      </c>
      <c r="J69" s="103" cm="1">
        <f t="array" aca="1" ref="J69" ca="1">SUM( Tracking[Amount] * (Tracking[Type]=cc_type) * (YEAR(Tracking[Effective Date])=selected_year) * (MONTH(Tracking[Effective Date])=cc_month_number) )</f>
        <v>1102.32</v>
      </c>
      <c r="K69" s="103" cm="1">
        <f t="array" aca="1" ref="K69" ca="1">INDEX('Budget Planning'!$E:$CI,savings_total_row, MATCH(DATE(selected_year,cc_month_number,1),'Budget Planning'!$E$9:$CI$9,0))</f>
        <v>696.5</v>
      </c>
      <c r="L69" s="103">
        <f ca="1">cc_budget-cc_tracked</f>
        <v>-405.81999999999994</v>
      </c>
      <c r="M69" s="103">
        <f ca="1">cc_in_focus* cc_show_type* MIN(cc_tracked,cc_budget)</f>
        <v>0</v>
      </c>
      <c r="N69" s="103">
        <f ca="1">cc_in_focus* cc_show_type* cc_show_rem_budget* IF(cc_delta&gt;0,cc_delta,0)</f>
        <v>0</v>
      </c>
      <c r="O69" s="103">
        <f ca="1">cc_in_focus* cc_show_type* IF(cc_delta&lt;0,ABS(cc_delta),0)</f>
        <v>0</v>
      </c>
      <c r="P69" s="103">
        <f ca="1">NOT(cc_in_focus)* cc_show_type* MIN(cc_tracked,cc_budget)</f>
        <v>696.5</v>
      </c>
      <c r="Q69" s="103">
        <f ca="1">NOT(cc_in_focus)* cc_show_type* cc_show_rem_budget* IF(cc_delta&gt;0,cc_delta,0)</f>
        <v>0</v>
      </c>
      <c r="R69" s="103">
        <f ca="1">NOT(cc_in_focus)* cc_show_type* IF(cc_delta&lt;0,ABS(cc_delta),0)</f>
        <v>405.81999999999994</v>
      </c>
    </row>
    <row r="70" spans="4:18" x14ac:dyDescent="0.3">
      <c r="D70" s="194"/>
      <c r="E70" s="102"/>
      <c r="F70" s="102"/>
      <c r="G70" s="102"/>
      <c r="H70" s="102"/>
      <c r="I70" s="102"/>
      <c r="J70" s="104"/>
      <c r="K70" s="104"/>
      <c r="L70" s="104"/>
      <c r="M70" s="104"/>
      <c r="N70" s="104"/>
      <c r="O70" s="104"/>
      <c r="P70" s="104"/>
      <c r="Q70" s="104"/>
      <c r="R70" s="104"/>
    </row>
    <row r="71" spans="4:18" x14ac:dyDescent="0.3">
      <c r="D71" s="192">
        <f ca="1">DATE(selected_year,5,1)</f>
        <v>46143</v>
      </c>
      <c r="E71" s="101" t="s">
        <v>5</v>
      </c>
      <c r="F71" s="83">
        <f t="shared" ref="F71" ca="1" si="22">MONTH(D71)</f>
        <v>5</v>
      </c>
      <c r="G71" s="83">
        <f ca="1">IF(selected_period="Total Year", 1, IF(selected_period=cc_month_number,1,0))</f>
        <v>0</v>
      </c>
      <c r="H71" s="83">
        <f t="shared" ref="H71" si="23">1*$E$49</f>
        <v>1</v>
      </c>
      <c r="I71" s="83">
        <f t="shared" ref="I71" si="24">1*$E$52</f>
        <v>1</v>
      </c>
      <c r="J71" s="103" cm="1">
        <f t="array" aca="1" ref="J71" ca="1">SUM( Tracking[Amount] * (Tracking[Type]=cc_type) * (YEAR(Tracking[Effective Date])=selected_year) * (MONTH(Tracking[Effective Date])=cc_month_number) )</f>
        <v>1926.9</v>
      </c>
      <c r="K71" s="103" cm="1">
        <f t="array" aca="1" ref="K71" ca="1">INDEX('Budget Planning'!$E:$CI,income_total_row, MATCH(DATE(selected_year,cc_month_number,1),'Budget Planning'!$E$9:$CI$9,0))</f>
        <v>1612</v>
      </c>
      <c r="L71" s="103">
        <f ca="1">cc_budget-cc_tracked</f>
        <v>-314.90000000000009</v>
      </c>
      <c r="M71" s="103">
        <f ca="1">cc_in_focus* cc_show_type* MIN(cc_tracked,cc_budget)</f>
        <v>0</v>
      </c>
      <c r="N71" s="103">
        <f ca="1">cc_in_focus* cc_show_type* cc_show_rem_budget* IF(cc_delta&gt;0,cc_delta,0)</f>
        <v>0</v>
      </c>
      <c r="O71" s="103">
        <f ca="1">cc_in_focus* cc_show_type* IF(cc_delta&lt;0,ABS(cc_delta),0)</f>
        <v>0</v>
      </c>
      <c r="P71" s="103">
        <f ca="1">NOT(cc_in_focus)* cc_show_type* MIN(cc_tracked,cc_budget)</f>
        <v>1612</v>
      </c>
      <c r="Q71" s="103">
        <f ca="1">NOT(cc_in_focus)* cc_show_type* cc_show_rem_budget* IF(cc_delta&gt;0,cc_delta,0)</f>
        <v>0</v>
      </c>
      <c r="R71" s="103">
        <f ca="1">NOT(cc_in_focus)* cc_show_type* IF(cc_delta&lt;0,ABS(cc_delta),0)</f>
        <v>314.90000000000009</v>
      </c>
    </row>
    <row r="72" spans="4:18" x14ac:dyDescent="0.3">
      <c r="D72" s="193"/>
      <c r="E72" s="83" t="s">
        <v>9</v>
      </c>
      <c r="F72" s="83">
        <f t="shared" ref="F72" ca="1" si="25">MONTH(D71)</f>
        <v>5</v>
      </c>
      <c r="G72" s="83">
        <f ca="1">IF(selected_period="Total Year", 1, IF(selected_period=cc_month_number,1,0))</f>
        <v>0</v>
      </c>
      <c r="H72" s="83">
        <f t="shared" ref="H72" si="26">1*$E$50</f>
        <v>1</v>
      </c>
      <c r="I72" s="83">
        <f t="shared" si="3"/>
        <v>1</v>
      </c>
      <c r="J72" s="103" cm="1">
        <f t="array" aca="1" ref="J72" ca="1">SUM( Tracking[Amount] * (Tracking[Type]=cc_type) * (YEAR(Tracking[Effective Date])=selected_year) * (MONTH(Tracking[Effective Date])=cc_month_number) )</f>
        <v>2323.1299999999997</v>
      </c>
      <c r="K72" s="103" cm="1">
        <f t="array" aca="1" ref="K72" ca="1">INDEX('Budget Planning'!$E:$CI,expenses_total_row, MATCH(DATE(selected_year,cc_month_number,1),'Budget Planning'!$E$9:$CI$9,0))</f>
        <v>1265</v>
      </c>
      <c r="L72" s="103">
        <f ca="1">cc_budget-cc_tracked</f>
        <v>-1058.1299999999997</v>
      </c>
      <c r="M72" s="103">
        <f ca="1">cc_in_focus* cc_show_type* MIN(cc_tracked,cc_budget)</f>
        <v>0</v>
      </c>
      <c r="N72" s="103">
        <f ca="1">cc_in_focus* cc_show_type* cc_show_rem_budget* IF(cc_delta&gt;0,cc_delta,0)</f>
        <v>0</v>
      </c>
      <c r="O72" s="103">
        <f ca="1">cc_in_focus* cc_show_type* IF(cc_delta&lt;0,ABS(cc_delta),0)</f>
        <v>0</v>
      </c>
      <c r="P72" s="103">
        <f ca="1">NOT(cc_in_focus)* cc_show_type* MIN(cc_tracked,cc_budget)</f>
        <v>1265</v>
      </c>
      <c r="Q72" s="103">
        <f ca="1">NOT(cc_in_focus)* cc_show_type* cc_show_rem_budget* IF(cc_delta&gt;0,cc_delta,0)</f>
        <v>0</v>
      </c>
      <c r="R72" s="103">
        <f ca="1">NOT(cc_in_focus)* cc_show_type* IF(cc_delta&lt;0,ABS(cc_delta),0)</f>
        <v>1058.1299999999997</v>
      </c>
    </row>
    <row r="73" spans="4:18" x14ac:dyDescent="0.3">
      <c r="D73" s="193"/>
      <c r="E73" s="83" t="s">
        <v>14</v>
      </c>
      <c r="F73" s="83">
        <f t="shared" ref="F73" ca="1" si="27">MONTH(D71)</f>
        <v>5</v>
      </c>
      <c r="G73" s="83">
        <f ca="1">IF(selected_period="Total Year", 1, IF(selected_period=cc_month_number,1,0))</f>
        <v>0</v>
      </c>
      <c r="H73" s="83">
        <f t="shared" ref="H73" si="28">1*$E$51</f>
        <v>1</v>
      </c>
      <c r="I73" s="83">
        <f t="shared" si="3"/>
        <v>1</v>
      </c>
      <c r="J73" s="103" cm="1">
        <f t="array" aca="1" ref="J73" ca="1">SUM( Tracking[Amount] * (Tracking[Type]=cc_type) * (YEAR(Tracking[Effective Date])=selected_year) * (MONTH(Tracking[Effective Date])=cc_month_number) )</f>
        <v>450.34000000000003</v>
      </c>
      <c r="K73" s="103" cm="1">
        <f t="array" aca="1" ref="K73" ca="1">INDEX('Budget Planning'!$E:$CI,savings_total_row, MATCH(DATE(selected_year,cc_month_number,1),'Budget Planning'!$E$9:$CI$9,0))</f>
        <v>496.5</v>
      </c>
      <c r="L73" s="103">
        <f ca="1">cc_budget-cc_tracked</f>
        <v>46.159999999999968</v>
      </c>
      <c r="M73" s="103">
        <f ca="1">cc_in_focus* cc_show_type* MIN(cc_tracked,cc_budget)</f>
        <v>0</v>
      </c>
      <c r="N73" s="103">
        <f ca="1">cc_in_focus* cc_show_type* cc_show_rem_budget* IF(cc_delta&gt;0,cc_delta,0)</f>
        <v>0</v>
      </c>
      <c r="O73" s="103">
        <f ca="1">cc_in_focus* cc_show_type* IF(cc_delta&lt;0,ABS(cc_delta),0)</f>
        <v>0</v>
      </c>
      <c r="P73" s="103">
        <f ca="1">NOT(cc_in_focus)* cc_show_type* MIN(cc_tracked,cc_budget)</f>
        <v>450.34000000000003</v>
      </c>
      <c r="Q73" s="103">
        <f ca="1">NOT(cc_in_focus)* cc_show_type* cc_show_rem_budget* IF(cc_delta&gt;0,cc_delta,0)</f>
        <v>46.159999999999968</v>
      </c>
      <c r="R73" s="103">
        <f ca="1">NOT(cc_in_focus)* cc_show_type* IF(cc_delta&lt;0,ABS(cc_delta),0)</f>
        <v>0</v>
      </c>
    </row>
    <row r="74" spans="4:18" x14ac:dyDescent="0.3">
      <c r="D74" s="194"/>
      <c r="E74" s="102"/>
      <c r="F74" s="102"/>
      <c r="G74" s="102"/>
      <c r="H74" s="102"/>
      <c r="I74" s="102"/>
      <c r="J74" s="104"/>
      <c r="K74" s="104"/>
      <c r="L74" s="104"/>
      <c r="M74" s="104"/>
      <c r="N74" s="104"/>
      <c r="O74" s="104"/>
      <c r="P74" s="104"/>
      <c r="Q74" s="104"/>
      <c r="R74" s="104"/>
    </row>
    <row r="75" spans="4:18" x14ac:dyDescent="0.3">
      <c r="D75" s="192">
        <f ca="1">DATE(selected_year,6,1)</f>
        <v>46174</v>
      </c>
      <c r="E75" s="101" t="s">
        <v>5</v>
      </c>
      <c r="F75" s="83">
        <f t="shared" ref="F75" ca="1" si="29">MONTH(D75)</f>
        <v>6</v>
      </c>
      <c r="G75" s="83">
        <f ca="1">IF(selected_period="Total Year", 1, IF(selected_period=cc_month_number,1,0))</f>
        <v>0</v>
      </c>
      <c r="H75" s="83">
        <f t="shared" ref="H75" si="30">1*$E$49</f>
        <v>1</v>
      </c>
      <c r="I75" s="83">
        <f t="shared" ref="I75" si="31">1*$E$52</f>
        <v>1</v>
      </c>
      <c r="J75" s="103" cm="1">
        <f t="array" aca="1" ref="J75" ca="1">SUM( Tracking[Amount] * (Tracking[Type]=cc_type) * (YEAR(Tracking[Effective Date])=selected_year) * (MONTH(Tracking[Effective Date])=cc_month_number) )</f>
        <v>2202.6999999999998</v>
      </c>
      <c r="K75" s="103" cm="1">
        <f t="array" aca="1" ref="K75" ca="1">INDEX('Budget Planning'!$E:$CI,income_total_row, MATCH(DATE(selected_year,cc_month_number,1),'Budget Planning'!$E$9:$CI$9,0))</f>
        <v>1612</v>
      </c>
      <c r="L75" s="103">
        <f ca="1">cc_budget-cc_tracked</f>
        <v>-590.69999999999982</v>
      </c>
      <c r="M75" s="103">
        <f ca="1">cc_in_focus* cc_show_type* MIN(cc_tracked,cc_budget)</f>
        <v>0</v>
      </c>
      <c r="N75" s="103">
        <f ca="1">cc_in_focus* cc_show_type* cc_show_rem_budget* IF(cc_delta&gt;0,cc_delta,0)</f>
        <v>0</v>
      </c>
      <c r="O75" s="103">
        <f ca="1">cc_in_focus* cc_show_type* IF(cc_delta&lt;0,ABS(cc_delta),0)</f>
        <v>0</v>
      </c>
      <c r="P75" s="103">
        <f ca="1">NOT(cc_in_focus)* cc_show_type* MIN(cc_tracked,cc_budget)</f>
        <v>1612</v>
      </c>
      <c r="Q75" s="103">
        <f ca="1">NOT(cc_in_focus)* cc_show_type* cc_show_rem_budget* IF(cc_delta&gt;0,cc_delta,0)</f>
        <v>0</v>
      </c>
      <c r="R75" s="103">
        <f ca="1">NOT(cc_in_focus)* cc_show_type* IF(cc_delta&lt;0,ABS(cc_delta),0)</f>
        <v>590.69999999999982</v>
      </c>
    </row>
    <row r="76" spans="4:18" x14ac:dyDescent="0.3">
      <c r="D76" s="193"/>
      <c r="E76" s="83" t="s">
        <v>9</v>
      </c>
      <c r="F76" s="83">
        <f t="shared" ref="F76" ca="1" si="32">MONTH(D75)</f>
        <v>6</v>
      </c>
      <c r="G76" s="83">
        <f ca="1">IF(selected_period="Total Year", 1, IF(selected_period=cc_month_number,1,0))</f>
        <v>0</v>
      </c>
      <c r="H76" s="83">
        <f t="shared" ref="H76" si="33">1*$E$50</f>
        <v>1</v>
      </c>
      <c r="I76" s="83">
        <f t="shared" si="3"/>
        <v>1</v>
      </c>
      <c r="J76" s="103" cm="1">
        <f t="array" aca="1" ref="J76" ca="1">SUM( Tracking[Amount] * (Tracking[Type]=cc_type) * (YEAR(Tracking[Effective Date])=selected_year) * (MONTH(Tracking[Effective Date])=cc_month_number) )</f>
        <v>2435.37</v>
      </c>
      <c r="K76" s="103" cm="1">
        <f t="array" aca="1" ref="K76" ca="1">INDEX('Budget Planning'!$E:$CI,expenses_total_row, MATCH(DATE(selected_year,cc_month_number,1),'Budget Planning'!$E$9:$CI$9,0))</f>
        <v>1065</v>
      </c>
      <c r="L76" s="103">
        <f ca="1">cc_budget-cc_tracked</f>
        <v>-1370.37</v>
      </c>
      <c r="M76" s="103">
        <f ca="1">cc_in_focus* cc_show_type* MIN(cc_tracked,cc_budget)</f>
        <v>0</v>
      </c>
      <c r="N76" s="103">
        <f ca="1">cc_in_focus* cc_show_type* cc_show_rem_budget* IF(cc_delta&gt;0,cc_delta,0)</f>
        <v>0</v>
      </c>
      <c r="O76" s="103">
        <f ca="1">cc_in_focus* cc_show_type* IF(cc_delta&lt;0,ABS(cc_delta),0)</f>
        <v>0</v>
      </c>
      <c r="P76" s="103">
        <f ca="1">NOT(cc_in_focus)* cc_show_type* MIN(cc_tracked,cc_budget)</f>
        <v>1065</v>
      </c>
      <c r="Q76" s="103">
        <f ca="1">NOT(cc_in_focus)* cc_show_type* cc_show_rem_budget* IF(cc_delta&gt;0,cc_delta,0)</f>
        <v>0</v>
      </c>
      <c r="R76" s="103">
        <f ca="1">NOT(cc_in_focus)* cc_show_type* IF(cc_delta&lt;0,ABS(cc_delta),0)</f>
        <v>1370.37</v>
      </c>
    </row>
    <row r="77" spans="4:18" x14ac:dyDescent="0.3">
      <c r="D77" s="193"/>
      <c r="E77" s="83" t="s">
        <v>14</v>
      </c>
      <c r="F77" s="83">
        <f t="shared" ref="F77" ca="1" si="34">MONTH(D75)</f>
        <v>6</v>
      </c>
      <c r="G77" s="83">
        <f ca="1">IF(selected_period="Total Year", 1, IF(selected_period=cc_month_number,1,0))</f>
        <v>0</v>
      </c>
      <c r="H77" s="83">
        <f t="shared" ref="H77" si="35">1*$E$51</f>
        <v>1</v>
      </c>
      <c r="I77" s="83">
        <f t="shared" si="3"/>
        <v>1</v>
      </c>
      <c r="J77" s="103" cm="1">
        <f t="array" aca="1" ref="J77" ca="1">SUM( Tracking[Amount] * (Tracking[Type]=cc_type) * (YEAR(Tracking[Effective Date])=selected_year) * (MONTH(Tracking[Effective Date])=cc_month_number) )</f>
        <v>342</v>
      </c>
      <c r="K77" s="103" cm="1">
        <f t="array" aca="1" ref="K77" ca="1">INDEX('Budget Planning'!$E:$CI,savings_total_row, MATCH(DATE(selected_year,cc_month_number,1),'Budget Planning'!$E$9:$CI$9,0))</f>
        <v>696.5</v>
      </c>
      <c r="L77" s="103">
        <f ca="1">cc_budget-cc_tracked</f>
        <v>354.5</v>
      </c>
      <c r="M77" s="103">
        <f ca="1">cc_in_focus* cc_show_type* MIN(cc_tracked,cc_budget)</f>
        <v>0</v>
      </c>
      <c r="N77" s="103">
        <f ca="1">cc_in_focus* cc_show_type* cc_show_rem_budget* IF(cc_delta&gt;0,cc_delta,0)</f>
        <v>0</v>
      </c>
      <c r="O77" s="103">
        <f ca="1">cc_in_focus* cc_show_type* IF(cc_delta&lt;0,ABS(cc_delta),0)</f>
        <v>0</v>
      </c>
      <c r="P77" s="103">
        <f ca="1">NOT(cc_in_focus)* cc_show_type* MIN(cc_tracked,cc_budget)</f>
        <v>342</v>
      </c>
      <c r="Q77" s="103">
        <f ca="1">NOT(cc_in_focus)* cc_show_type* cc_show_rem_budget* IF(cc_delta&gt;0,cc_delta,0)</f>
        <v>354.5</v>
      </c>
      <c r="R77" s="103">
        <f ca="1">NOT(cc_in_focus)* cc_show_type* IF(cc_delta&lt;0,ABS(cc_delta),0)</f>
        <v>0</v>
      </c>
    </row>
    <row r="78" spans="4:18" x14ac:dyDescent="0.3">
      <c r="D78" s="194"/>
      <c r="E78" s="102"/>
      <c r="F78" s="102"/>
      <c r="G78" s="102"/>
      <c r="H78" s="102"/>
      <c r="I78" s="102"/>
      <c r="J78" s="104"/>
      <c r="K78" s="104"/>
      <c r="L78" s="104"/>
      <c r="M78" s="104"/>
      <c r="N78" s="104"/>
      <c r="O78" s="104"/>
      <c r="P78" s="104"/>
      <c r="Q78" s="104"/>
      <c r="R78" s="104"/>
    </row>
    <row r="79" spans="4:18" x14ac:dyDescent="0.3">
      <c r="D79" s="192">
        <f ca="1">DATE(selected_year,7,1)</f>
        <v>46204</v>
      </c>
      <c r="E79" s="101" t="s">
        <v>5</v>
      </c>
      <c r="F79" s="83">
        <f t="shared" ref="F79" ca="1" si="36">MONTH(D79)</f>
        <v>7</v>
      </c>
      <c r="G79" s="83">
        <f ca="1">IF(selected_period="Total Year", 1, IF(selected_period=cc_month_number,1,0))</f>
        <v>1</v>
      </c>
      <c r="H79" s="83">
        <f t="shared" ref="H79" si="37">1*$E$49</f>
        <v>1</v>
      </c>
      <c r="I79" s="83">
        <f t="shared" ref="I79" si="38">1*$E$52</f>
        <v>1</v>
      </c>
      <c r="J79" s="103" cm="1">
        <f t="array" aca="1" ref="J79" ca="1">SUM( Tracking[Amount] * (Tracking[Type]=cc_type) * (YEAR(Tracking[Effective Date])=selected_year) * (MONTH(Tracking[Effective Date])=cc_month_number) )</f>
        <v>760.47</v>
      </c>
      <c r="K79" s="103" cm="1">
        <f t="array" aca="1" ref="K79" ca="1">INDEX('Budget Planning'!$E:$CI,income_total_row, MATCH(DATE(selected_year,cc_month_number,1),'Budget Planning'!$E$9:$CI$9,0))</f>
        <v>1612</v>
      </c>
      <c r="L79" s="103">
        <f ca="1">cc_budget-cc_tracked</f>
        <v>851.53</v>
      </c>
      <c r="M79" s="103">
        <f ca="1">cc_in_focus* cc_show_type* MIN(cc_tracked,cc_budget)</f>
        <v>760.47</v>
      </c>
      <c r="N79" s="103">
        <f ca="1">cc_in_focus* cc_show_type* cc_show_rem_budget* IF(cc_delta&gt;0,cc_delta,0)</f>
        <v>851.53</v>
      </c>
      <c r="O79" s="103">
        <f ca="1">cc_in_focus* cc_show_type* IF(cc_delta&lt;0,ABS(cc_delta),0)</f>
        <v>0</v>
      </c>
      <c r="P79" s="103">
        <f ca="1">NOT(cc_in_focus)* cc_show_type* MIN(cc_tracked,cc_budget)</f>
        <v>0</v>
      </c>
      <c r="Q79" s="103">
        <f ca="1">NOT(cc_in_focus)* cc_show_type* cc_show_rem_budget* IF(cc_delta&gt;0,cc_delta,0)</f>
        <v>0</v>
      </c>
      <c r="R79" s="103">
        <f ca="1">NOT(cc_in_focus)* cc_show_type* IF(cc_delta&lt;0,ABS(cc_delta),0)</f>
        <v>0</v>
      </c>
    </row>
    <row r="80" spans="4:18" x14ac:dyDescent="0.3">
      <c r="D80" s="193"/>
      <c r="E80" s="83" t="s">
        <v>9</v>
      </c>
      <c r="F80" s="83">
        <f t="shared" ref="F80" ca="1" si="39">MONTH(D79)</f>
        <v>7</v>
      </c>
      <c r="G80" s="83">
        <f ca="1">IF(selected_period="Total Year", 1, IF(selected_period=cc_month_number,1,0))</f>
        <v>1</v>
      </c>
      <c r="H80" s="83">
        <f t="shared" ref="H80" si="40">1*$E$50</f>
        <v>1</v>
      </c>
      <c r="I80" s="83">
        <f t="shared" si="3"/>
        <v>1</v>
      </c>
      <c r="J80" s="103" cm="1">
        <f t="array" aca="1" ref="J80" ca="1">SUM( Tracking[Amount] * (Tracking[Type]=cc_type) * (YEAR(Tracking[Effective Date])=selected_year) * (MONTH(Tracking[Effective Date])=cc_month_number) )</f>
        <v>198.93</v>
      </c>
      <c r="K80" s="103" cm="1">
        <f t="array" aca="1" ref="K80" ca="1">INDEX('Budget Planning'!$E:$CI,expenses_total_row, MATCH(DATE(selected_year,cc_month_number,1),'Budget Planning'!$E$9:$CI$9,0))</f>
        <v>1065</v>
      </c>
      <c r="L80" s="103">
        <f ca="1">cc_budget-cc_tracked</f>
        <v>866.06999999999994</v>
      </c>
      <c r="M80" s="103">
        <f ca="1">cc_in_focus* cc_show_type* MIN(cc_tracked,cc_budget)</f>
        <v>198.93</v>
      </c>
      <c r="N80" s="103">
        <f ca="1">cc_in_focus* cc_show_type* cc_show_rem_budget* IF(cc_delta&gt;0,cc_delta,0)</f>
        <v>866.06999999999994</v>
      </c>
      <c r="O80" s="103">
        <f ca="1">cc_in_focus* cc_show_type* IF(cc_delta&lt;0,ABS(cc_delta),0)</f>
        <v>0</v>
      </c>
      <c r="P80" s="103">
        <f ca="1">NOT(cc_in_focus)* cc_show_type* MIN(cc_tracked,cc_budget)</f>
        <v>0</v>
      </c>
      <c r="Q80" s="103">
        <f ca="1">NOT(cc_in_focus)* cc_show_type* cc_show_rem_budget* IF(cc_delta&gt;0,cc_delta,0)</f>
        <v>0</v>
      </c>
      <c r="R80" s="103">
        <f ca="1">NOT(cc_in_focus)* cc_show_type* IF(cc_delta&lt;0,ABS(cc_delta),0)</f>
        <v>0</v>
      </c>
    </row>
    <row r="81" spans="4:18" x14ac:dyDescent="0.3">
      <c r="D81" s="193"/>
      <c r="E81" s="83" t="s">
        <v>14</v>
      </c>
      <c r="F81" s="83">
        <f t="shared" ref="F81" ca="1" si="41">MONTH(D79)</f>
        <v>7</v>
      </c>
      <c r="G81" s="83">
        <f ca="1">IF(selected_period="Total Year", 1, IF(selected_period=cc_month_number,1,0))</f>
        <v>1</v>
      </c>
      <c r="H81" s="83">
        <f t="shared" ref="H81" si="42">1*$E$51</f>
        <v>1</v>
      </c>
      <c r="I81" s="83">
        <f t="shared" si="3"/>
        <v>1</v>
      </c>
      <c r="J81" s="103" cm="1">
        <f t="array" aca="1" ref="J81" ca="1">SUM( Tracking[Amount] * (Tracking[Type]=cc_type) * (YEAR(Tracking[Effective Date])=selected_year) * (MONTH(Tracking[Effective Date])=cc_month_number) )</f>
        <v>0</v>
      </c>
      <c r="K81" s="103" cm="1">
        <f t="array" aca="1" ref="K81" ca="1">INDEX('Budget Planning'!$E:$CI,savings_total_row, MATCH(DATE(selected_year,cc_month_number,1),'Budget Planning'!$E$9:$CI$9,0))</f>
        <v>696.5</v>
      </c>
      <c r="L81" s="103">
        <f ca="1">cc_budget-cc_tracked</f>
        <v>696.5</v>
      </c>
      <c r="M81" s="103">
        <f ca="1">cc_in_focus* cc_show_type* MIN(cc_tracked,cc_budget)</f>
        <v>0</v>
      </c>
      <c r="N81" s="103">
        <f ca="1">cc_in_focus* cc_show_type* cc_show_rem_budget* IF(cc_delta&gt;0,cc_delta,0)</f>
        <v>696.5</v>
      </c>
      <c r="O81" s="103">
        <f ca="1">cc_in_focus* cc_show_type* IF(cc_delta&lt;0,ABS(cc_delta),0)</f>
        <v>0</v>
      </c>
      <c r="P81" s="103">
        <f ca="1">NOT(cc_in_focus)* cc_show_type* MIN(cc_tracked,cc_budget)</f>
        <v>0</v>
      </c>
      <c r="Q81" s="103">
        <f ca="1">NOT(cc_in_focus)* cc_show_type* cc_show_rem_budget* IF(cc_delta&gt;0,cc_delta,0)</f>
        <v>0</v>
      </c>
      <c r="R81" s="103">
        <f ca="1">NOT(cc_in_focus)* cc_show_type* IF(cc_delta&lt;0,ABS(cc_delta),0)</f>
        <v>0</v>
      </c>
    </row>
    <row r="82" spans="4:18" x14ac:dyDescent="0.3">
      <c r="D82" s="194"/>
      <c r="E82" s="102"/>
      <c r="F82" s="102"/>
      <c r="G82" s="102"/>
      <c r="H82" s="102"/>
      <c r="I82" s="102"/>
      <c r="J82" s="104"/>
      <c r="K82" s="104"/>
      <c r="L82" s="104"/>
      <c r="M82" s="104"/>
      <c r="N82" s="104"/>
      <c r="O82" s="104"/>
      <c r="P82" s="104"/>
      <c r="Q82" s="104"/>
      <c r="R82" s="104"/>
    </row>
    <row r="83" spans="4:18" x14ac:dyDescent="0.3">
      <c r="D83" s="192">
        <f ca="1">DATE(selected_year,8,1)</f>
        <v>46235</v>
      </c>
      <c r="E83" s="101" t="s">
        <v>5</v>
      </c>
      <c r="F83" s="83">
        <f t="shared" ref="F83" ca="1" si="43">MONTH(D83)</f>
        <v>8</v>
      </c>
      <c r="G83" s="83">
        <f ca="1">IF(selected_period="Total Year", 1, IF(selected_period=cc_month_number,1,0))</f>
        <v>0</v>
      </c>
      <c r="H83" s="83">
        <f t="shared" ref="H83" si="44">1*$E$49</f>
        <v>1</v>
      </c>
      <c r="I83" s="83">
        <f t="shared" ref="I83" si="45">1*$E$52</f>
        <v>1</v>
      </c>
      <c r="J83" s="103" cm="1">
        <f t="array" aca="1" ref="J83" ca="1">SUM( Tracking[Amount] * (Tracking[Type]=cc_type) * (YEAR(Tracking[Effective Date])=selected_year) * (MONTH(Tracking[Effective Date])=cc_month_number) )</f>
        <v>0</v>
      </c>
      <c r="K83" s="103" cm="1">
        <f t="array" aca="1" ref="K83" ca="1">INDEX('Budget Planning'!$E:$CI,income_total_row, MATCH(DATE(selected_year,cc_month_number,1),'Budget Planning'!$E$9:$CI$9,0))</f>
        <v>1612</v>
      </c>
      <c r="L83" s="103">
        <f ca="1">cc_budget-cc_tracked</f>
        <v>1612</v>
      </c>
      <c r="M83" s="103">
        <f ca="1">cc_in_focus* cc_show_type* MIN(cc_tracked,cc_budget)</f>
        <v>0</v>
      </c>
      <c r="N83" s="103">
        <f ca="1">cc_in_focus* cc_show_type* cc_show_rem_budget* IF(cc_delta&gt;0,cc_delta,0)</f>
        <v>0</v>
      </c>
      <c r="O83" s="103">
        <f ca="1">cc_in_focus* cc_show_type* IF(cc_delta&lt;0,ABS(cc_delta),0)</f>
        <v>0</v>
      </c>
      <c r="P83" s="103">
        <f ca="1">NOT(cc_in_focus)* cc_show_type* MIN(cc_tracked,cc_budget)</f>
        <v>0</v>
      </c>
      <c r="Q83" s="103">
        <f ca="1">NOT(cc_in_focus)* cc_show_type* cc_show_rem_budget* IF(cc_delta&gt;0,cc_delta,0)</f>
        <v>1612</v>
      </c>
      <c r="R83" s="103">
        <f ca="1">NOT(cc_in_focus)* cc_show_type* IF(cc_delta&lt;0,ABS(cc_delta),0)</f>
        <v>0</v>
      </c>
    </row>
    <row r="84" spans="4:18" x14ac:dyDescent="0.3">
      <c r="D84" s="193"/>
      <c r="E84" s="83" t="s">
        <v>9</v>
      </c>
      <c r="F84" s="83">
        <f t="shared" ref="F84" ca="1" si="46">MONTH(D83)</f>
        <v>8</v>
      </c>
      <c r="G84" s="83">
        <f ca="1">IF(selected_period="Total Year", 1, IF(selected_period=cc_month_number,1,0))</f>
        <v>0</v>
      </c>
      <c r="H84" s="83">
        <f t="shared" ref="H84" si="47">1*$E$50</f>
        <v>1</v>
      </c>
      <c r="I84" s="83">
        <f t="shared" si="3"/>
        <v>1</v>
      </c>
      <c r="J84" s="103" cm="1">
        <f t="array" aca="1" ref="J84" ca="1">SUM( Tracking[Amount] * (Tracking[Type]=cc_type) * (YEAR(Tracking[Effective Date])=selected_year) * (MONTH(Tracking[Effective Date])=cc_month_number) )</f>
        <v>0</v>
      </c>
      <c r="K84" s="103" cm="1">
        <f t="array" aca="1" ref="K84" ca="1">INDEX('Budget Planning'!$E:$CI,expenses_total_row, MATCH(DATE(selected_year,cc_month_number,1),'Budget Planning'!$E$9:$CI$9,0))</f>
        <v>1065</v>
      </c>
      <c r="L84" s="103">
        <f ca="1">cc_budget-cc_tracked</f>
        <v>1065</v>
      </c>
      <c r="M84" s="103">
        <f ca="1">cc_in_focus* cc_show_type* MIN(cc_tracked,cc_budget)</f>
        <v>0</v>
      </c>
      <c r="N84" s="103">
        <f ca="1">cc_in_focus* cc_show_type* cc_show_rem_budget* IF(cc_delta&gt;0,cc_delta,0)</f>
        <v>0</v>
      </c>
      <c r="O84" s="103">
        <f ca="1">cc_in_focus* cc_show_type* IF(cc_delta&lt;0,ABS(cc_delta),0)</f>
        <v>0</v>
      </c>
      <c r="P84" s="103">
        <f ca="1">NOT(cc_in_focus)* cc_show_type* MIN(cc_tracked,cc_budget)</f>
        <v>0</v>
      </c>
      <c r="Q84" s="103">
        <f ca="1">NOT(cc_in_focus)* cc_show_type* cc_show_rem_budget* IF(cc_delta&gt;0,cc_delta,0)</f>
        <v>1065</v>
      </c>
      <c r="R84" s="103">
        <f ca="1">NOT(cc_in_focus)* cc_show_type* IF(cc_delta&lt;0,ABS(cc_delta),0)</f>
        <v>0</v>
      </c>
    </row>
    <row r="85" spans="4:18" x14ac:dyDescent="0.3">
      <c r="D85" s="193"/>
      <c r="E85" s="83" t="s">
        <v>14</v>
      </c>
      <c r="F85" s="83">
        <f t="shared" ref="F85" ca="1" si="48">MONTH(D83)</f>
        <v>8</v>
      </c>
      <c r="G85" s="83">
        <f ca="1">IF(selected_period="Total Year", 1, IF(selected_period=cc_month_number,1,0))</f>
        <v>0</v>
      </c>
      <c r="H85" s="83">
        <f t="shared" ref="H85" si="49">1*$E$51</f>
        <v>1</v>
      </c>
      <c r="I85" s="83">
        <f t="shared" si="3"/>
        <v>1</v>
      </c>
      <c r="J85" s="103" cm="1">
        <f t="array" aca="1" ref="J85" ca="1">SUM( Tracking[Amount] * (Tracking[Type]=cc_type) * (YEAR(Tracking[Effective Date])=selected_year) * (MONTH(Tracking[Effective Date])=cc_month_number) )</f>
        <v>0</v>
      </c>
      <c r="K85" s="103" cm="1">
        <f t="array" aca="1" ref="K85" ca="1">INDEX('Budget Planning'!$E:$CI,savings_total_row, MATCH(DATE(selected_year,cc_month_number,1),'Budget Planning'!$E$9:$CI$9,0))</f>
        <v>696.5</v>
      </c>
      <c r="L85" s="103">
        <f ca="1">cc_budget-cc_tracked</f>
        <v>696.5</v>
      </c>
      <c r="M85" s="103">
        <f ca="1">cc_in_focus* cc_show_type* MIN(cc_tracked,cc_budget)</f>
        <v>0</v>
      </c>
      <c r="N85" s="103">
        <f ca="1">cc_in_focus* cc_show_type* cc_show_rem_budget* IF(cc_delta&gt;0,cc_delta,0)</f>
        <v>0</v>
      </c>
      <c r="O85" s="103">
        <f ca="1">cc_in_focus* cc_show_type* IF(cc_delta&lt;0,ABS(cc_delta),0)</f>
        <v>0</v>
      </c>
      <c r="P85" s="103">
        <f ca="1">NOT(cc_in_focus)* cc_show_type* MIN(cc_tracked,cc_budget)</f>
        <v>0</v>
      </c>
      <c r="Q85" s="103">
        <f ca="1">NOT(cc_in_focus)* cc_show_type* cc_show_rem_budget* IF(cc_delta&gt;0,cc_delta,0)</f>
        <v>696.5</v>
      </c>
      <c r="R85" s="103">
        <f ca="1">NOT(cc_in_focus)* cc_show_type* IF(cc_delta&lt;0,ABS(cc_delta),0)</f>
        <v>0</v>
      </c>
    </row>
    <row r="86" spans="4:18" x14ac:dyDescent="0.3">
      <c r="D86" s="194"/>
      <c r="E86" s="102"/>
      <c r="F86" s="102"/>
      <c r="G86" s="102"/>
      <c r="H86" s="102"/>
      <c r="I86" s="102"/>
      <c r="J86" s="104"/>
      <c r="K86" s="104"/>
      <c r="L86" s="104"/>
      <c r="M86" s="104"/>
      <c r="N86" s="104"/>
      <c r="O86" s="104"/>
      <c r="P86" s="104"/>
      <c r="Q86" s="104"/>
      <c r="R86" s="104"/>
    </row>
    <row r="87" spans="4:18" x14ac:dyDescent="0.3">
      <c r="D87" s="192">
        <f ca="1">DATE(selected_year,9,1)</f>
        <v>46266</v>
      </c>
      <c r="E87" s="101" t="s">
        <v>5</v>
      </c>
      <c r="F87" s="83">
        <f t="shared" ref="F87" ca="1" si="50">MONTH(D87)</f>
        <v>9</v>
      </c>
      <c r="G87" s="83">
        <f ca="1">IF(selected_period="Total Year", 1, IF(selected_period=cc_month_number,1,0))</f>
        <v>0</v>
      </c>
      <c r="H87" s="83">
        <f t="shared" ref="H87" si="51">1*$E$49</f>
        <v>1</v>
      </c>
      <c r="I87" s="83">
        <f t="shared" ref="I87" si="52">1*$E$52</f>
        <v>1</v>
      </c>
      <c r="J87" s="103" cm="1">
        <f t="array" aca="1" ref="J87" ca="1">SUM( Tracking[Amount] * (Tracking[Type]=cc_type) * (YEAR(Tracking[Effective Date])=selected_year) * (MONTH(Tracking[Effective Date])=cc_month_number) )</f>
        <v>0</v>
      </c>
      <c r="K87" s="103" cm="1">
        <f t="array" aca="1" ref="K87" ca="1">INDEX('Budget Planning'!$E:$CI,income_total_row, MATCH(DATE(selected_year,cc_month_number,1),'Budget Planning'!$E$9:$CI$9,0))</f>
        <v>1612</v>
      </c>
      <c r="L87" s="103">
        <f ca="1">cc_budget-cc_tracked</f>
        <v>1612</v>
      </c>
      <c r="M87" s="103">
        <f ca="1">cc_in_focus* cc_show_type* MIN(cc_tracked,cc_budget)</f>
        <v>0</v>
      </c>
      <c r="N87" s="103">
        <f ca="1">cc_in_focus* cc_show_type* cc_show_rem_budget* IF(cc_delta&gt;0,cc_delta,0)</f>
        <v>0</v>
      </c>
      <c r="O87" s="103">
        <f ca="1">cc_in_focus* cc_show_type* IF(cc_delta&lt;0,ABS(cc_delta),0)</f>
        <v>0</v>
      </c>
      <c r="P87" s="103">
        <f ca="1">NOT(cc_in_focus)* cc_show_type* MIN(cc_tracked,cc_budget)</f>
        <v>0</v>
      </c>
      <c r="Q87" s="103">
        <f ca="1">NOT(cc_in_focus)* cc_show_type* cc_show_rem_budget* IF(cc_delta&gt;0,cc_delta,0)</f>
        <v>1612</v>
      </c>
      <c r="R87" s="103">
        <f ca="1">NOT(cc_in_focus)* cc_show_type* IF(cc_delta&lt;0,ABS(cc_delta),0)</f>
        <v>0</v>
      </c>
    </row>
    <row r="88" spans="4:18" x14ac:dyDescent="0.3">
      <c r="D88" s="193"/>
      <c r="E88" s="83" t="s">
        <v>9</v>
      </c>
      <c r="F88" s="83">
        <f t="shared" ref="F88" ca="1" si="53">MONTH(D87)</f>
        <v>9</v>
      </c>
      <c r="G88" s="83">
        <f ca="1">IF(selected_period="Total Year", 1, IF(selected_period=cc_month_number,1,0))</f>
        <v>0</v>
      </c>
      <c r="H88" s="83">
        <f t="shared" ref="H88" si="54">1*$E$50</f>
        <v>1</v>
      </c>
      <c r="I88" s="83">
        <f t="shared" si="3"/>
        <v>1</v>
      </c>
      <c r="J88" s="103" cm="1">
        <f t="array" aca="1" ref="J88" ca="1">SUM( Tracking[Amount] * (Tracking[Type]=cc_type) * (YEAR(Tracking[Effective Date])=selected_year) * (MONTH(Tracking[Effective Date])=cc_month_number) )</f>
        <v>0</v>
      </c>
      <c r="K88" s="103" cm="1">
        <f t="array" aca="1" ref="K88" ca="1">INDEX('Budget Planning'!$E:$CI,expenses_total_row, MATCH(DATE(selected_year,cc_month_number,1),'Budget Planning'!$E$9:$CI$9,0))</f>
        <v>1065</v>
      </c>
      <c r="L88" s="103">
        <f ca="1">cc_budget-cc_tracked</f>
        <v>1065</v>
      </c>
      <c r="M88" s="103">
        <f ca="1">cc_in_focus* cc_show_type* MIN(cc_tracked,cc_budget)</f>
        <v>0</v>
      </c>
      <c r="N88" s="103">
        <f ca="1">cc_in_focus* cc_show_type* cc_show_rem_budget* IF(cc_delta&gt;0,cc_delta,0)</f>
        <v>0</v>
      </c>
      <c r="O88" s="103">
        <f ca="1">cc_in_focus* cc_show_type* IF(cc_delta&lt;0,ABS(cc_delta),0)</f>
        <v>0</v>
      </c>
      <c r="P88" s="103">
        <f ca="1">NOT(cc_in_focus)* cc_show_type* MIN(cc_tracked,cc_budget)</f>
        <v>0</v>
      </c>
      <c r="Q88" s="103">
        <f ca="1">NOT(cc_in_focus)* cc_show_type* cc_show_rem_budget* IF(cc_delta&gt;0,cc_delta,0)</f>
        <v>1065</v>
      </c>
      <c r="R88" s="103">
        <f ca="1">NOT(cc_in_focus)* cc_show_type* IF(cc_delta&lt;0,ABS(cc_delta),0)</f>
        <v>0</v>
      </c>
    </row>
    <row r="89" spans="4:18" x14ac:dyDescent="0.3">
      <c r="D89" s="193"/>
      <c r="E89" s="83" t="s">
        <v>14</v>
      </c>
      <c r="F89" s="83">
        <f t="shared" ref="F89" ca="1" si="55">MONTH(D87)</f>
        <v>9</v>
      </c>
      <c r="G89" s="83">
        <f ca="1">IF(selected_period="Total Year", 1, IF(selected_period=cc_month_number,1,0))</f>
        <v>0</v>
      </c>
      <c r="H89" s="83">
        <f t="shared" ref="H89" si="56">1*$E$51</f>
        <v>1</v>
      </c>
      <c r="I89" s="83">
        <f t="shared" si="3"/>
        <v>1</v>
      </c>
      <c r="J89" s="103" cm="1">
        <f t="array" aca="1" ref="J89" ca="1">SUM( Tracking[Amount] * (Tracking[Type]=cc_type) * (YEAR(Tracking[Effective Date])=selected_year) * (MONTH(Tracking[Effective Date])=cc_month_number) )</f>
        <v>0</v>
      </c>
      <c r="K89" s="103" cm="1">
        <f t="array" aca="1" ref="K89" ca="1">INDEX('Budget Planning'!$E:$CI,savings_total_row, MATCH(DATE(selected_year,cc_month_number,1),'Budget Planning'!$E$9:$CI$9,0))</f>
        <v>696.5</v>
      </c>
      <c r="L89" s="103">
        <f ca="1">cc_budget-cc_tracked</f>
        <v>696.5</v>
      </c>
      <c r="M89" s="103">
        <f ca="1">cc_in_focus* cc_show_type* MIN(cc_tracked,cc_budget)</f>
        <v>0</v>
      </c>
      <c r="N89" s="103">
        <f ca="1">cc_in_focus* cc_show_type* cc_show_rem_budget* IF(cc_delta&gt;0,cc_delta,0)</f>
        <v>0</v>
      </c>
      <c r="O89" s="103">
        <f ca="1">cc_in_focus* cc_show_type* IF(cc_delta&lt;0,ABS(cc_delta),0)</f>
        <v>0</v>
      </c>
      <c r="P89" s="103">
        <f ca="1">NOT(cc_in_focus)* cc_show_type* MIN(cc_tracked,cc_budget)</f>
        <v>0</v>
      </c>
      <c r="Q89" s="103">
        <f ca="1">NOT(cc_in_focus)* cc_show_type* cc_show_rem_budget* IF(cc_delta&gt;0,cc_delta,0)</f>
        <v>696.5</v>
      </c>
      <c r="R89" s="103">
        <f ca="1">NOT(cc_in_focus)* cc_show_type* IF(cc_delta&lt;0,ABS(cc_delta),0)</f>
        <v>0</v>
      </c>
    </row>
    <row r="90" spans="4:18" x14ac:dyDescent="0.3">
      <c r="D90" s="194"/>
      <c r="E90" s="102"/>
      <c r="F90" s="102"/>
      <c r="G90" s="102"/>
      <c r="H90" s="102"/>
      <c r="I90" s="102"/>
      <c r="J90" s="104"/>
      <c r="K90" s="104"/>
      <c r="L90" s="104"/>
      <c r="M90" s="104"/>
      <c r="N90" s="104"/>
      <c r="O90" s="104"/>
      <c r="P90" s="104"/>
      <c r="Q90" s="104"/>
      <c r="R90" s="104"/>
    </row>
    <row r="91" spans="4:18" x14ac:dyDescent="0.3">
      <c r="D91" s="192">
        <f ca="1">DATE(selected_year,10,1)</f>
        <v>46296</v>
      </c>
      <c r="E91" s="101" t="s">
        <v>5</v>
      </c>
      <c r="F91" s="83">
        <f t="shared" ref="F91" ca="1" si="57">MONTH(D91)</f>
        <v>10</v>
      </c>
      <c r="G91" s="83">
        <f ca="1">IF(selected_period="Total Year", 1, IF(selected_period=cc_month_number,1,0))</f>
        <v>0</v>
      </c>
      <c r="H91" s="83">
        <f t="shared" ref="H91" si="58">1*$E$49</f>
        <v>1</v>
      </c>
      <c r="I91" s="83">
        <f t="shared" ref="I91" si="59">1*$E$52</f>
        <v>1</v>
      </c>
      <c r="J91" s="103" cm="1">
        <f t="array" aca="1" ref="J91" ca="1">SUM( Tracking[Amount] * (Tracking[Type]=cc_type) * (YEAR(Tracking[Effective Date])=selected_year) * (MONTH(Tracking[Effective Date])=cc_month_number) )</f>
        <v>0</v>
      </c>
      <c r="K91" s="103" cm="1">
        <f t="array" aca="1" ref="K91" ca="1">INDEX('Budget Planning'!$E:$CI,income_total_row, MATCH(DATE(selected_year,cc_month_number,1),'Budget Planning'!$E$9:$CI$9,0))</f>
        <v>1612</v>
      </c>
      <c r="L91" s="103">
        <f ca="1">cc_budget-cc_tracked</f>
        <v>1612</v>
      </c>
      <c r="M91" s="103">
        <f ca="1">cc_in_focus* cc_show_type* MIN(cc_tracked,cc_budget)</f>
        <v>0</v>
      </c>
      <c r="N91" s="103">
        <f ca="1">cc_in_focus* cc_show_type* cc_show_rem_budget* IF(cc_delta&gt;0,cc_delta,0)</f>
        <v>0</v>
      </c>
      <c r="O91" s="103">
        <f ca="1">cc_in_focus* cc_show_type* IF(cc_delta&lt;0,ABS(cc_delta),0)</f>
        <v>0</v>
      </c>
      <c r="P91" s="103">
        <f ca="1">NOT(cc_in_focus)* cc_show_type* MIN(cc_tracked,cc_budget)</f>
        <v>0</v>
      </c>
      <c r="Q91" s="103">
        <f ca="1">NOT(cc_in_focus)* cc_show_type* cc_show_rem_budget* IF(cc_delta&gt;0,cc_delta,0)</f>
        <v>1612</v>
      </c>
      <c r="R91" s="103">
        <f ca="1">NOT(cc_in_focus)* cc_show_type* IF(cc_delta&lt;0,ABS(cc_delta),0)</f>
        <v>0</v>
      </c>
    </row>
    <row r="92" spans="4:18" x14ac:dyDescent="0.3">
      <c r="D92" s="193"/>
      <c r="E92" s="83" t="s">
        <v>9</v>
      </c>
      <c r="F92" s="83">
        <f t="shared" ref="F92" ca="1" si="60">MONTH(D91)</f>
        <v>10</v>
      </c>
      <c r="G92" s="83">
        <f ca="1">IF(selected_period="Total Year", 1, IF(selected_period=cc_month_number,1,0))</f>
        <v>0</v>
      </c>
      <c r="H92" s="83">
        <f t="shared" ref="H92" si="61">1*$E$50</f>
        <v>1</v>
      </c>
      <c r="I92" s="83">
        <f t="shared" si="3"/>
        <v>1</v>
      </c>
      <c r="J92" s="103" cm="1">
        <f t="array" aca="1" ref="J92" ca="1">SUM( Tracking[Amount] * (Tracking[Type]=cc_type) * (YEAR(Tracking[Effective Date])=selected_year) * (MONTH(Tracking[Effective Date])=cc_month_number) )</f>
        <v>0</v>
      </c>
      <c r="K92" s="103" cm="1">
        <f t="array" aca="1" ref="K92" ca="1">INDEX('Budget Planning'!$E:$CI,expenses_total_row, MATCH(DATE(selected_year,cc_month_number,1),'Budget Planning'!$E$9:$CI$9,0))</f>
        <v>1065</v>
      </c>
      <c r="L92" s="103">
        <f ca="1">cc_budget-cc_tracked</f>
        <v>1065</v>
      </c>
      <c r="M92" s="103">
        <f ca="1">cc_in_focus* cc_show_type* MIN(cc_tracked,cc_budget)</f>
        <v>0</v>
      </c>
      <c r="N92" s="103">
        <f ca="1">cc_in_focus* cc_show_type* cc_show_rem_budget* IF(cc_delta&gt;0,cc_delta,0)</f>
        <v>0</v>
      </c>
      <c r="O92" s="103">
        <f ca="1">cc_in_focus* cc_show_type* IF(cc_delta&lt;0,ABS(cc_delta),0)</f>
        <v>0</v>
      </c>
      <c r="P92" s="103">
        <f ca="1">NOT(cc_in_focus)* cc_show_type* MIN(cc_tracked,cc_budget)</f>
        <v>0</v>
      </c>
      <c r="Q92" s="103">
        <f ca="1">NOT(cc_in_focus)* cc_show_type* cc_show_rem_budget* IF(cc_delta&gt;0,cc_delta,0)</f>
        <v>1065</v>
      </c>
      <c r="R92" s="103">
        <f ca="1">NOT(cc_in_focus)* cc_show_type* IF(cc_delta&lt;0,ABS(cc_delta),0)</f>
        <v>0</v>
      </c>
    </row>
    <row r="93" spans="4:18" x14ac:dyDescent="0.3">
      <c r="D93" s="193"/>
      <c r="E93" s="83" t="s">
        <v>14</v>
      </c>
      <c r="F93" s="83">
        <f t="shared" ref="F93" ca="1" si="62">MONTH(D91)</f>
        <v>10</v>
      </c>
      <c r="G93" s="83">
        <f ca="1">IF(selected_period="Total Year", 1, IF(selected_period=cc_month_number,1,0))</f>
        <v>0</v>
      </c>
      <c r="H93" s="83">
        <f t="shared" ref="H93" si="63">1*$E$51</f>
        <v>1</v>
      </c>
      <c r="I93" s="83">
        <f t="shared" si="3"/>
        <v>1</v>
      </c>
      <c r="J93" s="103" cm="1">
        <f t="array" aca="1" ref="J93" ca="1">SUM( Tracking[Amount] * (Tracking[Type]=cc_type) * (YEAR(Tracking[Effective Date])=selected_year) * (MONTH(Tracking[Effective Date])=cc_month_number) )</f>
        <v>0</v>
      </c>
      <c r="K93" s="103" cm="1">
        <f t="array" aca="1" ref="K93" ca="1">INDEX('Budget Planning'!$E:$CI,savings_total_row, MATCH(DATE(selected_year,cc_month_number,1),'Budget Planning'!$E$9:$CI$9,0))</f>
        <v>697</v>
      </c>
      <c r="L93" s="103">
        <f ca="1">cc_budget-cc_tracked</f>
        <v>697</v>
      </c>
      <c r="M93" s="103">
        <f ca="1">cc_in_focus* cc_show_type* MIN(cc_tracked,cc_budget)</f>
        <v>0</v>
      </c>
      <c r="N93" s="103">
        <f ca="1">cc_in_focus* cc_show_type* cc_show_rem_budget* IF(cc_delta&gt;0,cc_delta,0)</f>
        <v>0</v>
      </c>
      <c r="O93" s="103">
        <f ca="1">cc_in_focus* cc_show_type* IF(cc_delta&lt;0,ABS(cc_delta),0)</f>
        <v>0</v>
      </c>
      <c r="P93" s="103">
        <f ca="1">NOT(cc_in_focus)* cc_show_type* MIN(cc_tracked,cc_budget)</f>
        <v>0</v>
      </c>
      <c r="Q93" s="103">
        <f ca="1">NOT(cc_in_focus)* cc_show_type* cc_show_rem_budget* IF(cc_delta&gt;0,cc_delta,0)</f>
        <v>697</v>
      </c>
      <c r="R93" s="103">
        <f ca="1">NOT(cc_in_focus)* cc_show_type* IF(cc_delta&lt;0,ABS(cc_delta),0)</f>
        <v>0</v>
      </c>
    </row>
    <row r="94" spans="4:18" x14ac:dyDescent="0.3">
      <c r="D94" s="194"/>
      <c r="E94" s="102"/>
      <c r="F94" s="102"/>
      <c r="G94" s="102"/>
      <c r="H94" s="102"/>
      <c r="I94" s="102"/>
      <c r="J94" s="104"/>
      <c r="K94" s="104"/>
      <c r="L94" s="104"/>
      <c r="M94" s="104"/>
      <c r="N94" s="104"/>
      <c r="O94" s="104"/>
      <c r="P94" s="104"/>
      <c r="Q94" s="104"/>
      <c r="R94" s="104"/>
    </row>
    <row r="95" spans="4:18" x14ac:dyDescent="0.3">
      <c r="D95" s="192">
        <f ca="1">DATE(selected_year,11,1)</f>
        <v>46327</v>
      </c>
      <c r="E95" s="101" t="s">
        <v>5</v>
      </c>
      <c r="F95" s="83">
        <f t="shared" ref="F95" ca="1" si="64">MONTH(D95)</f>
        <v>11</v>
      </c>
      <c r="G95" s="83">
        <f ca="1">IF(selected_period="Total Year", 1, IF(selected_period=cc_month_number,1,0))</f>
        <v>0</v>
      </c>
      <c r="H95" s="83">
        <f t="shared" ref="H95" si="65">1*$E$49</f>
        <v>1</v>
      </c>
      <c r="I95" s="83">
        <f t="shared" ref="I95" si="66">1*$E$52</f>
        <v>1</v>
      </c>
      <c r="J95" s="103" cm="1">
        <f t="array" aca="1" ref="J95" ca="1">SUM( Tracking[Amount] * (Tracking[Type]=cc_type) * (YEAR(Tracking[Effective Date])=selected_year) * (MONTH(Tracking[Effective Date])=cc_month_number) )</f>
        <v>0</v>
      </c>
      <c r="K95" s="103" cm="1">
        <f t="array" aca="1" ref="K95" ca="1">INDEX('Budget Planning'!$E:$CI,income_total_row, MATCH(DATE(selected_year,cc_month_number,1),'Budget Planning'!$E$9:$CI$9,0))</f>
        <v>1612</v>
      </c>
      <c r="L95" s="103">
        <f ca="1">cc_budget-cc_tracked</f>
        <v>1612</v>
      </c>
      <c r="M95" s="103">
        <f ca="1">cc_in_focus* cc_show_type* MIN(cc_tracked,cc_budget)</f>
        <v>0</v>
      </c>
      <c r="N95" s="103">
        <f ca="1">cc_in_focus* cc_show_type* cc_show_rem_budget* IF(cc_delta&gt;0,cc_delta,0)</f>
        <v>0</v>
      </c>
      <c r="O95" s="103">
        <f ca="1">cc_in_focus* cc_show_type* IF(cc_delta&lt;0,ABS(cc_delta),0)</f>
        <v>0</v>
      </c>
      <c r="P95" s="103">
        <f ca="1">NOT(cc_in_focus)* cc_show_type* MIN(cc_tracked,cc_budget)</f>
        <v>0</v>
      </c>
      <c r="Q95" s="103">
        <f ca="1">NOT(cc_in_focus)* cc_show_type* cc_show_rem_budget* IF(cc_delta&gt;0,cc_delta,0)</f>
        <v>1612</v>
      </c>
      <c r="R95" s="103">
        <f ca="1">NOT(cc_in_focus)* cc_show_type* IF(cc_delta&lt;0,ABS(cc_delta),0)</f>
        <v>0</v>
      </c>
    </row>
    <row r="96" spans="4:18" x14ac:dyDescent="0.3">
      <c r="D96" s="193"/>
      <c r="E96" s="83" t="s">
        <v>9</v>
      </c>
      <c r="F96" s="83">
        <f t="shared" ref="F96" ca="1" si="67">MONTH(D95)</f>
        <v>11</v>
      </c>
      <c r="G96" s="83">
        <f ca="1">IF(selected_period="Total Year", 1, IF(selected_period=cc_month_number,1,0))</f>
        <v>0</v>
      </c>
      <c r="H96" s="83">
        <f t="shared" ref="H96" si="68">1*$E$50</f>
        <v>1</v>
      </c>
      <c r="I96" s="83">
        <f t="shared" si="3"/>
        <v>1</v>
      </c>
      <c r="J96" s="103" cm="1">
        <f t="array" aca="1" ref="J96" ca="1">SUM( Tracking[Amount] * (Tracking[Type]=cc_type) * (YEAR(Tracking[Effective Date])=selected_year) * (MONTH(Tracking[Effective Date])=cc_month_number) )</f>
        <v>0</v>
      </c>
      <c r="K96" s="103" cm="1">
        <f t="array" aca="1" ref="K96" ca="1">INDEX('Budget Planning'!$E:$CI,expenses_total_row, MATCH(DATE(selected_year,cc_month_number,1),'Budget Planning'!$E$9:$CI$9,0))</f>
        <v>1065</v>
      </c>
      <c r="L96" s="103">
        <f ca="1">cc_budget-cc_tracked</f>
        <v>1065</v>
      </c>
      <c r="M96" s="103">
        <f ca="1">cc_in_focus* cc_show_type* MIN(cc_tracked,cc_budget)</f>
        <v>0</v>
      </c>
      <c r="N96" s="103">
        <f ca="1">cc_in_focus* cc_show_type* cc_show_rem_budget* IF(cc_delta&gt;0,cc_delta,0)</f>
        <v>0</v>
      </c>
      <c r="O96" s="103">
        <f ca="1">cc_in_focus* cc_show_type* IF(cc_delta&lt;0,ABS(cc_delta),0)</f>
        <v>0</v>
      </c>
      <c r="P96" s="103">
        <f ca="1">NOT(cc_in_focus)* cc_show_type* MIN(cc_tracked,cc_budget)</f>
        <v>0</v>
      </c>
      <c r="Q96" s="103">
        <f ca="1">NOT(cc_in_focus)* cc_show_type* cc_show_rem_budget* IF(cc_delta&gt;0,cc_delta,0)</f>
        <v>1065</v>
      </c>
      <c r="R96" s="103">
        <f ca="1">NOT(cc_in_focus)* cc_show_type* IF(cc_delta&lt;0,ABS(cc_delta),0)</f>
        <v>0</v>
      </c>
    </row>
    <row r="97" spans="4:18" x14ac:dyDescent="0.3">
      <c r="D97" s="193"/>
      <c r="E97" s="83" t="s">
        <v>14</v>
      </c>
      <c r="F97" s="83">
        <f t="shared" ref="F97" ca="1" si="69">MONTH(D95)</f>
        <v>11</v>
      </c>
      <c r="G97" s="83">
        <f ca="1">IF(selected_period="Total Year", 1, IF(selected_period=cc_month_number,1,0))</f>
        <v>0</v>
      </c>
      <c r="H97" s="83">
        <f t="shared" ref="H97" si="70">1*$E$51</f>
        <v>1</v>
      </c>
      <c r="I97" s="83">
        <f t="shared" si="3"/>
        <v>1</v>
      </c>
      <c r="J97" s="103" cm="1">
        <f t="array" aca="1" ref="J97" ca="1">SUM( Tracking[Amount] * (Tracking[Type]=cc_type) * (YEAR(Tracking[Effective Date])=selected_year) * (MONTH(Tracking[Effective Date])=cc_month_number) )</f>
        <v>0</v>
      </c>
      <c r="K97" s="103" cm="1">
        <f t="array" aca="1" ref="K97" ca="1">INDEX('Budget Planning'!$E:$CI,savings_total_row, MATCH(DATE(selected_year,cc_month_number,1),'Budget Planning'!$E$9:$CI$9,0))</f>
        <v>697</v>
      </c>
      <c r="L97" s="103">
        <f ca="1">cc_budget-cc_tracked</f>
        <v>697</v>
      </c>
      <c r="M97" s="103">
        <f ca="1">cc_in_focus* cc_show_type* MIN(cc_tracked,cc_budget)</f>
        <v>0</v>
      </c>
      <c r="N97" s="103">
        <f ca="1">cc_in_focus* cc_show_type* cc_show_rem_budget* IF(cc_delta&gt;0,cc_delta,0)</f>
        <v>0</v>
      </c>
      <c r="O97" s="103">
        <f ca="1">cc_in_focus* cc_show_type* IF(cc_delta&lt;0,ABS(cc_delta),0)</f>
        <v>0</v>
      </c>
      <c r="P97" s="103">
        <f ca="1">NOT(cc_in_focus)* cc_show_type* MIN(cc_tracked,cc_budget)</f>
        <v>0</v>
      </c>
      <c r="Q97" s="103">
        <f ca="1">NOT(cc_in_focus)* cc_show_type* cc_show_rem_budget* IF(cc_delta&gt;0,cc_delta,0)</f>
        <v>697</v>
      </c>
      <c r="R97" s="103">
        <f ca="1">NOT(cc_in_focus)* cc_show_type* IF(cc_delta&lt;0,ABS(cc_delta),0)</f>
        <v>0</v>
      </c>
    </row>
    <row r="98" spans="4:18" x14ac:dyDescent="0.3">
      <c r="D98" s="194"/>
      <c r="E98" s="102"/>
      <c r="F98" s="102"/>
      <c r="G98" s="102"/>
      <c r="H98" s="102"/>
      <c r="I98" s="102"/>
      <c r="J98" s="104"/>
      <c r="K98" s="104"/>
      <c r="L98" s="104"/>
      <c r="M98" s="104"/>
      <c r="N98" s="104"/>
      <c r="O98" s="104"/>
      <c r="P98" s="104"/>
      <c r="Q98" s="104"/>
      <c r="R98" s="104"/>
    </row>
    <row r="99" spans="4:18" x14ac:dyDescent="0.3">
      <c r="D99" s="192">
        <f ca="1">DATE(selected_year,12,1)</f>
        <v>46357</v>
      </c>
      <c r="E99" s="101" t="s">
        <v>5</v>
      </c>
      <c r="F99" s="83">
        <f t="shared" ref="F99" ca="1" si="71">MONTH(D99)</f>
        <v>12</v>
      </c>
      <c r="G99" s="83">
        <f ca="1">IF(selected_period="Total Year", 1, IF(selected_period=cc_month_number,1,0))</f>
        <v>0</v>
      </c>
      <c r="H99" s="83">
        <f t="shared" ref="H99" si="72">1*$E$49</f>
        <v>1</v>
      </c>
      <c r="I99" s="83">
        <f t="shared" ref="I99" si="73">1*$E$52</f>
        <v>1</v>
      </c>
      <c r="J99" s="103" cm="1">
        <f t="array" aca="1" ref="J99" ca="1">SUM( Tracking[Amount] * (Tracking[Type]=cc_type) * (YEAR(Tracking[Effective Date])=selected_year) * (MONTH(Tracking[Effective Date])=cc_month_number) )</f>
        <v>0</v>
      </c>
      <c r="K99" s="103" cm="1">
        <f t="array" aca="1" ref="K99" ca="1">INDEX('Budget Planning'!$E:$CI,income_total_row, MATCH(DATE(selected_year,cc_month_number,1),'Budget Planning'!$E$9:$CI$9,0))</f>
        <v>1612</v>
      </c>
      <c r="L99" s="103">
        <f ca="1">cc_budget-cc_tracked</f>
        <v>1612</v>
      </c>
      <c r="M99" s="103">
        <f ca="1">cc_in_focus* cc_show_type* MIN(cc_tracked,cc_budget)</f>
        <v>0</v>
      </c>
      <c r="N99" s="103">
        <f ca="1">cc_in_focus* cc_show_type* cc_show_rem_budget* IF(cc_delta&gt;0,cc_delta,0)</f>
        <v>0</v>
      </c>
      <c r="O99" s="103">
        <f ca="1">cc_in_focus* cc_show_type* IF(cc_delta&lt;0,ABS(cc_delta),0)</f>
        <v>0</v>
      </c>
      <c r="P99" s="103">
        <f ca="1">NOT(cc_in_focus)* cc_show_type* MIN(cc_tracked,cc_budget)</f>
        <v>0</v>
      </c>
      <c r="Q99" s="103">
        <f ca="1">NOT(cc_in_focus)* cc_show_type* cc_show_rem_budget* IF(cc_delta&gt;0,cc_delta,0)</f>
        <v>1612</v>
      </c>
      <c r="R99" s="103">
        <f ca="1">NOT(cc_in_focus)* cc_show_type* IF(cc_delta&lt;0,ABS(cc_delta),0)</f>
        <v>0</v>
      </c>
    </row>
    <row r="100" spans="4:18" x14ac:dyDescent="0.3">
      <c r="D100" s="193"/>
      <c r="E100" s="83" t="s">
        <v>9</v>
      </c>
      <c r="F100" s="83">
        <f t="shared" ref="F100" ca="1" si="74">MONTH(D99)</f>
        <v>12</v>
      </c>
      <c r="G100" s="83">
        <f ca="1">IF(selected_period="Total Year", 1, IF(selected_period=cc_month_number,1,0))</f>
        <v>0</v>
      </c>
      <c r="H100" s="83">
        <f t="shared" ref="H100" si="75">1*$E$50</f>
        <v>1</v>
      </c>
      <c r="I100" s="83">
        <f t="shared" si="3"/>
        <v>1</v>
      </c>
      <c r="J100" s="103" cm="1">
        <f t="array" aca="1" ref="J100" ca="1">SUM( Tracking[Amount] * (Tracking[Type]=cc_type) * (YEAR(Tracking[Effective Date])=selected_year) * (MONTH(Tracking[Effective Date])=cc_month_number) )</f>
        <v>0</v>
      </c>
      <c r="K100" s="103" cm="1">
        <f t="array" aca="1" ref="K100" ca="1">INDEX('Budget Planning'!$E:$CI,expenses_total_row, MATCH(DATE(selected_year,cc_month_number,1),'Budget Planning'!$E$9:$CI$9,0))</f>
        <v>1065</v>
      </c>
      <c r="L100" s="103">
        <f ca="1">cc_budget-cc_tracked</f>
        <v>1065</v>
      </c>
      <c r="M100" s="103">
        <f ca="1">cc_in_focus* cc_show_type* MIN(cc_tracked,cc_budget)</f>
        <v>0</v>
      </c>
      <c r="N100" s="103">
        <f ca="1">cc_in_focus* cc_show_type* cc_show_rem_budget* IF(cc_delta&gt;0,cc_delta,0)</f>
        <v>0</v>
      </c>
      <c r="O100" s="103">
        <f ca="1">cc_in_focus* cc_show_type* IF(cc_delta&lt;0,ABS(cc_delta),0)</f>
        <v>0</v>
      </c>
      <c r="P100" s="103">
        <f ca="1">NOT(cc_in_focus)* cc_show_type* MIN(cc_tracked,cc_budget)</f>
        <v>0</v>
      </c>
      <c r="Q100" s="103">
        <f ca="1">NOT(cc_in_focus)* cc_show_type* cc_show_rem_budget* IF(cc_delta&gt;0,cc_delta,0)</f>
        <v>1065</v>
      </c>
      <c r="R100" s="103">
        <f ca="1">NOT(cc_in_focus)* cc_show_type* IF(cc_delta&lt;0,ABS(cc_delta),0)</f>
        <v>0</v>
      </c>
    </row>
    <row r="101" spans="4:18" x14ac:dyDescent="0.3">
      <c r="D101" s="193"/>
      <c r="E101" s="83" t="s">
        <v>14</v>
      </c>
      <c r="F101" s="83">
        <f t="shared" ref="F101" ca="1" si="76">MONTH(D99)</f>
        <v>12</v>
      </c>
      <c r="G101" s="83">
        <f ca="1">IF(selected_period="Total Year", 1, IF(selected_period=cc_month_number,1,0))</f>
        <v>0</v>
      </c>
      <c r="H101" s="83">
        <f t="shared" ref="H101" si="77">1*$E$51</f>
        <v>1</v>
      </c>
      <c r="I101" s="83">
        <f t="shared" si="3"/>
        <v>1</v>
      </c>
      <c r="J101" s="103" cm="1">
        <f t="array" aca="1" ref="J101" ca="1">SUM( Tracking[Amount] * (Tracking[Type]=cc_type) * (YEAR(Tracking[Effective Date])=selected_year) * (MONTH(Tracking[Effective Date])=cc_month_number) )</f>
        <v>0</v>
      </c>
      <c r="K101" s="103" cm="1">
        <f t="array" aca="1" ref="K101" ca="1">INDEX('Budget Planning'!$E:$CI,savings_total_row, MATCH(DATE(selected_year,cc_month_number,1),'Budget Planning'!$E$9:$CI$9,0))</f>
        <v>697</v>
      </c>
      <c r="L101" s="103">
        <f ca="1">cc_budget-cc_tracked</f>
        <v>697</v>
      </c>
      <c r="M101" s="103">
        <f ca="1">cc_in_focus* cc_show_type* MIN(cc_tracked,cc_budget)</f>
        <v>0</v>
      </c>
      <c r="N101" s="103">
        <f ca="1">cc_in_focus* cc_show_type* cc_show_rem_budget* IF(cc_delta&gt;0,cc_delta,0)</f>
        <v>0</v>
      </c>
      <c r="O101" s="103">
        <f ca="1">cc_in_focus* cc_show_type* IF(cc_delta&lt;0,ABS(cc_delta),0)</f>
        <v>0</v>
      </c>
      <c r="P101" s="103">
        <f ca="1">NOT(cc_in_focus)* cc_show_type* MIN(cc_tracked,cc_budget)</f>
        <v>0</v>
      </c>
      <c r="Q101" s="103">
        <f ca="1">NOT(cc_in_focus)* cc_show_type* cc_show_rem_budget* IF(cc_delta&gt;0,cc_delta,0)</f>
        <v>697</v>
      </c>
      <c r="R101" s="103">
        <f ca="1">NOT(cc_in_focus)* cc_show_type* IF(cc_delta&lt;0,ABS(cc_delta),0)</f>
        <v>0</v>
      </c>
    </row>
    <row r="102" spans="4:18" x14ac:dyDescent="0.3">
      <c r="D102" s="194"/>
      <c r="E102" s="102"/>
      <c r="F102" s="102"/>
      <c r="G102" s="102"/>
      <c r="H102" s="102"/>
      <c r="I102" s="102"/>
      <c r="J102" s="104"/>
      <c r="K102" s="104"/>
      <c r="L102" s="104"/>
      <c r="M102" s="104"/>
      <c r="N102" s="104"/>
      <c r="O102" s="104"/>
      <c r="P102" s="104"/>
      <c r="Q102" s="104"/>
      <c r="R102" s="104"/>
    </row>
  </sheetData>
  <mergeCells count="16">
    <mergeCell ref="C6:F6"/>
    <mergeCell ref="C17:F17"/>
    <mergeCell ref="M53:O53"/>
    <mergeCell ref="P53:R53"/>
    <mergeCell ref="D55:D58"/>
    <mergeCell ref="D59:D62"/>
    <mergeCell ref="D63:D66"/>
    <mergeCell ref="D67:D70"/>
    <mergeCell ref="D71:D74"/>
    <mergeCell ref="D75:D78"/>
    <mergeCell ref="D99:D102"/>
    <mergeCell ref="D79:D82"/>
    <mergeCell ref="D83:D86"/>
    <mergeCell ref="D87:D90"/>
    <mergeCell ref="D91:D94"/>
    <mergeCell ref="D95:D98"/>
  </mergeCells>
  <phoneticPr fontId="1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0E18-F9E4-43FB-9661-F47D6A8E2DB0}">
  <sheetPr>
    <tabColor rgb="FF002060"/>
  </sheetPr>
  <dimension ref="C1:E21"/>
  <sheetViews>
    <sheetView showGridLines="0" workbookViewId="0">
      <selection activeCell="C9" sqref="C9"/>
    </sheetView>
  </sheetViews>
  <sheetFormatPr defaultColWidth="9.109375" defaultRowHeight="14.4" x14ac:dyDescent="0.3"/>
  <cols>
    <col min="1" max="2" width="9.109375" style="1" customWidth="1"/>
    <col min="3" max="3" width="22.5546875" style="1" customWidth="1"/>
    <col min="4" max="4" width="9.109375" style="1" customWidth="1"/>
    <col min="5" max="5" width="21" style="1" customWidth="1"/>
    <col min="6" max="6" width="9.109375" style="1" customWidth="1"/>
    <col min="7" max="16384" width="9.109375" style="1"/>
  </cols>
  <sheetData>
    <row r="1" spans="3:5" s="52" customFormat="1" ht="7.5" customHeight="1" x14ac:dyDescent="0.3"/>
    <row r="2" spans="3:5" s="52" customFormat="1" ht="41.25" customHeight="1" x14ac:dyDescent="0.3">
      <c r="C2" s="53" t="s">
        <v>44</v>
      </c>
    </row>
    <row r="3" spans="3:5" s="52" customFormat="1" ht="7.5" customHeight="1" x14ac:dyDescent="0.3"/>
    <row r="7" spans="3:5" x14ac:dyDescent="0.3">
      <c r="C7" s="37" t="s">
        <v>45</v>
      </c>
      <c r="E7" s="37" t="s">
        <v>47</v>
      </c>
    </row>
    <row r="8" spans="3:5" x14ac:dyDescent="0.3">
      <c r="C8" s="55" t="s">
        <v>46</v>
      </c>
      <c r="E8" s="55" t="s">
        <v>48</v>
      </c>
    </row>
    <row r="9" spans="3:5" x14ac:dyDescent="0.3">
      <c r="C9" s="55">
        <f>starting_year</f>
        <v>2025</v>
      </c>
      <c r="E9" s="55" t="s">
        <v>49</v>
      </c>
    </row>
    <row r="10" spans="3:5" x14ac:dyDescent="0.3">
      <c r="C10" s="55">
        <f>C9+1</f>
        <v>2026</v>
      </c>
      <c r="E10" s="57">
        <v>36526</v>
      </c>
    </row>
    <row r="11" spans="3:5" x14ac:dyDescent="0.3">
      <c r="C11" s="55">
        <f t="shared" ref="C11:C18" si="0">C10+1</f>
        <v>2027</v>
      </c>
      <c r="E11" s="57">
        <v>36557</v>
      </c>
    </row>
    <row r="12" spans="3:5" x14ac:dyDescent="0.3">
      <c r="C12" s="55">
        <f t="shared" si="0"/>
        <v>2028</v>
      </c>
      <c r="E12" s="57">
        <v>36586</v>
      </c>
    </row>
    <row r="13" spans="3:5" x14ac:dyDescent="0.3">
      <c r="C13" s="55">
        <f>C12+1</f>
        <v>2029</v>
      </c>
      <c r="E13" s="57">
        <v>36617</v>
      </c>
    </row>
    <row r="14" spans="3:5" x14ac:dyDescent="0.3">
      <c r="C14" s="55">
        <f t="shared" si="0"/>
        <v>2030</v>
      </c>
      <c r="E14" s="57">
        <v>36647</v>
      </c>
    </row>
    <row r="15" spans="3:5" x14ac:dyDescent="0.3">
      <c r="C15" s="55">
        <f t="shared" si="0"/>
        <v>2031</v>
      </c>
      <c r="E15" s="57">
        <v>36678</v>
      </c>
    </row>
    <row r="16" spans="3:5" x14ac:dyDescent="0.3">
      <c r="C16" s="55">
        <f t="shared" si="0"/>
        <v>2032</v>
      </c>
      <c r="E16" s="57">
        <v>36708</v>
      </c>
    </row>
    <row r="17" spans="3:5" x14ac:dyDescent="0.3">
      <c r="C17" s="55">
        <f t="shared" si="0"/>
        <v>2033</v>
      </c>
      <c r="E17" s="57">
        <v>36739</v>
      </c>
    </row>
    <row r="18" spans="3:5" x14ac:dyDescent="0.3">
      <c r="C18" s="56">
        <f t="shared" si="0"/>
        <v>2034</v>
      </c>
      <c r="E18" s="57">
        <v>36770</v>
      </c>
    </row>
    <row r="19" spans="3:5" x14ac:dyDescent="0.3">
      <c r="E19" s="57">
        <v>36800</v>
      </c>
    </row>
    <row r="20" spans="3:5" x14ac:dyDescent="0.3">
      <c r="E20" s="57">
        <v>36831</v>
      </c>
    </row>
    <row r="21" spans="3:5" x14ac:dyDescent="0.3">
      <c r="E21" s="58">
        <v>36861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39</vt:i4>
      </vt:variant>
    </vt:vector>
  </HeadingPairs>
  <TitlesOfParts>
    <vt:vector size="47" baseType="lpstr">
      <vt:lpstr>Settings</vt:lpstr>
      <vt:lpstr>Budget Planning</vt:lpstr>
      <vt:lpstr>Budget Tracking</vt:lpstr>
      <vt:lpstr>Budget Dashboard</vt:lpstr>
      <vt:lpstr>Savings Accounts</vt:lpstr>
      <vt:lpstr>Asset Allocation</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Dashboard'!is_category</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Hayden Harms</dc:creator>
  <cp:lastModifiedBy>Hayden Harms</cp:lastModifiedBy>
  <dcterms:created xsi:type="dcterms:W3CDTF">2025-01-22T00:14:40Z</dcterms:created>
  <dcterms:modified xsi:type="dcterms:W3CDTF">2026-07-04T14:46:58Z</dcterms:modified>
</cp:coreProperties>
</file>